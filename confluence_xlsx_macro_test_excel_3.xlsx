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ykhailoiereshchenko/Downloads/"/>
    </mc:Choice>
  </mc:AlternateContent>
  <xr:revisionPtr revIDLastSave="0" documentId="13_ncr:1_{BC64A525-3E7F-7642-BF5D-4C3E15BFF13D}" xr6:coauthVersionLast="47" xr6:coauthVersionMax="47" xr10:uidLastSave="{00000000-0000-0000-0000-000000000000}"/>
  <bookViews>
    <workbookView xWindow="0" yWindow="680" windowWidth="34560" windowHeight="21660" activeTab="1" xr2:uid="{00000000-000D-0000-FFFF-FFFF00000000}"/>
  </bookViews>
  <sheets>
    <sheet name="Lookup" sheetId="1" r:id="rId1"/>
    <sheet name="Data" sheetId="2" r:id="rId2"/>
    <sheet name="Summary" sheetId="3" r:id="rId3"/>
    <sheet name="Formulas" sheetId="4" r:id="rId4"/>
  </sheets>
  <definedNames>
    <definedName name="ProductPrices">Lookup!$C$2:$D$5</definedName>
    <definedName name="Products">Lookup!$C$2:$C$5</definedName>
    <definedName name="Regions">Lookup!$A$2:$A$5</definedName>
    <definedName name="RepEmails">Lookup!$E$2:$F$5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E8" i="4"/>
  <c r="E7" i="4"/>
  <c r="E5" i="4"/>
  <c r="E4" i="4"/>
  <c r="E3" i="4"/>
  <c r="B8" i="3"/>
  <c r="H2" i="2"/>
  <c r="F2" i="2"/>
  <c r="G2" i="2" s="1"/>
  <c r="H3" i="2"/>
  <c r="F3" i="2"/>
  <c r="G3" i="2" s="1"/>
  <c r="H4" i="2"/>
  <c r="F4" i="2"/>
  <c r="G4" i="2" s="1"/>
  <c r="H5" i="2"/>
  <c r="F5" i="2"/>
  <c r="G5" i="2" s="1"/>
  <c r="H6" i="2"/>
  <c r="F6" i="2"/>
  <c r="G6" i="2" s="1"/>
  <c r="H7" i="2"/>
  <c r="F7" i="2"/>
  <c r="G7" i="2" s="1"/>
  <c r="H8" i="2"/>
  <c r="F8" i="2"/>
  <c r="G8" i="2" s="1"/>
  <c r="H9" i="2"/>
  <c r="F9" i="2"/>
  <c r="G9" i="2" s="1"/>
  <c r="H10" i="2"/>
  <c r="F10" i="2"/>
  <c r="G10" i="2" s="1"/>
  <c r="H11" i="2"/>
  <c r="F11" i="2"/>
  <c r="G11" i="2" s="1"/>
  <c r="H12" i="2"/>
  <c r="F12" i="2"/>
  <c r="G12" i="2" s="1"/>
  <c r="H13" i="2"/>
  <c r="F13" i="2"/>
  <c r="G13" i="2" s="1"/>
  <c r="H14" i="2"/>
  <c r="F14" i="2"/>
  <c r="G14" i="2" s="1"/>
  <c r="H15" i="2"/>
  <c r="F15" i="2"/>
  <c r="G15" i="2" s="1"/>
  <c r="H16" i="2"/>
  <c r="F16" i="2"/>
  <c r="G16" i="2" s="1"/>
  <c r="H17" i="2"/>
  <c r="F17" i="2"/>
  <c r="G17" i="2" s="1"/>
  <c r="H18" i="2"/>
  <c r="F18" i="2"/>
  <c r="G18" i="2" s="1"/>
  <c r="H19" i="2"/>
  <c r="F19" i="2"/>
  <c r="G19" i="2" s="1"/>
  <c r="H20" i="2"/>
  <c r="F20" i="2"/>
  <c r="G20" i="2" s="1"/>
  <c r="H21" i="2"/>
  <c r="F21" i="2"/>
  <c r="G21" i="2" s="1"/>
  <c r="H22" i="2"/>
  <c r="F22" i="2"/>
  <c r="G22" i="2" s="1"/>
  <c r="H23" i="2"/>
  <c r="F23" i="2"/>
  <c r="G23" i="2" s="1"/>
  <c r="H24" i="2"/>
  <c r="F24" i="2"/>
  <c r="G24" i="2" s="1"/>
  <c r="H25" i="2"/>
  <c r="F25" i="2"/>
  <c r="G25" i="2" s="1"/>
  <c r="H26" i="2"/>
  <c r="F26" i="2"/>
  <c r="G26" i="2" s="1"/>
  <c r="H27" i="2"/>
  <c r="F27" i="2"/>
  <c r="G27" i="2" s="1"/>
  <c r="H28" i="2"/>
  <c r="F28" i="2"/>
  <c r="G28" i="2" s="1"/>
  <c r="H29" i="2"/>
  <c r="F29" i="2"/>
  <c r="G29" i="2" s="1"/>
  <c r="H30" i="2"/>
  <c r="F30" i="2"/>
  <c r="G30" i="2" s="1"/>
  <c r="H31" i="2"/>
  <c r="F31" i="2"/>
  <c r="G31" i="2" s="1"/>
  <c r="H32" i="2"/>
  <c r="F32" i="2"/>
  <c r="G32" i="2" s="1"/>
  <c r="H33" i="2"/>
  <c r="F33" i="2"/>
  <c r="G33" i="2" s="1"/>
  <c r="H34" i="2"/>
  <c r="F34" i="2"/>
  <c r="G34" i="2" s="1"/>
  <c r="H35" i="2"/>
  <c r="F35" i="2"/>
  <c r="G35" i="2" s="1"/>
  <c r="H36" i="2"/>
  <c r="F36" i="2"/>
  <c r="G36" i="2" s="1"/>
  <c r="H37" i="2"/>
  <c r="F37" i="2"/>
  <c r="G37" i="2" s="1"/>
  <c r="H38" i="2"/>
  <c r="F38" i="2"/>
  <c r="G38" i="2" s="1"/>
  <c r="H39" i="2"/>
  <c r="F39" i="2"/>
  <c r="G39" i="2" s="1"/>
  <c r="H40" i="2"/>
  <c r="F40" i="2"/>
  <c r="G40" i="2" s="1"/>
  <c r="H41" i="2"/>
  <c r="F41" i="2"/>
  <c r="G41" i="2" s="1"/>
  <c r="H42" i="2"/>
  <c r="F42" i="2"/>
  <c r="G42" i="2" s="1"/>
  <c r="H43" i="2"/>
  <c r="F43" i="2"/>
  <c r="G43" i="2" s="1"/>
  <c r="H44" i="2"/>
  <c r="F44" i="2"/>
  <c r="G44" i="2" s="1"/>
  <c r="H45" i="2"/>
  <c r="F45" i="2"/>
  <c r="G45" i="2" s="1"/>
  <c r="H46" i="2"/>
  <c r="F46" i="2"/>
  <c r="G46" i="2" s="1"/>
  <c r="H47" i="2"/>
  <c r="F47" i="2"/>
  <c r="G47" i="2" s="1"/>
  <c r="H48" i="2"/>
  <c r="F48" i="2"/>
  <c r="G48" i="2" s="1"/>
  <c r="H49" i="2"/>
  <c r="F49" i="2"/>
  <c r="G49" i="2" s="1"/>
  <c r="H50" i="2"/>
  <c r="F50" i="2"/>
  <c r="G50" i="2" s="1"/>
  <c r="H51" i="2"/>
  <c r="F51" i="2"/>
  <c r="G51" i="2" s="1"/>
  <c r="H52" i="2"/>
  <c r="F52" i="2"/>
  <c r="G52" i="2" s="1"/>
  <c r="H53" i="2"/>
  <c r="F53" i="2"/>
  <c r="G53" i="2" s="1"/>
  <c r="H54" i="2"/>
  <c r="F54" i="2"/>
  <c r="G54" i="2" s="1"/>
  <c r="H55" i="2"/>
  <c r="F55" i="2"/>
  <c r="G55" i="2" s="1"/>
  <c r="H56" i="2"/>
  <c r="F56" i="2"/>
  <c r="G56" i="2" s="1"/>
  <c r="H57" i="2"/>
  <c r="F57" i="2"/>
  <c r="G57" i="2" s="1"/>
  <c r="H58" i="2"/>
  <c r="F58" i="2"/>
  <c r="G58" i="2" s="1"/>
  <c r="H59" i="2"/>
  <c r="F59" i="2"/>
  <c r="G59" i="2" s="1"/>
  <c r="H60" i="2"/>
  <c r="F60" i="2"/>
  <c r="G60" i="2" s="1"/>
  <c r="H61" i="2"/>
  <c r="F61" i="2"/>
  <c r="G61" i="2" s="1"/>
  <c r="H62" i="2"/>
  <c r="F62" i="2"/>
  <c r="G62" i="2" s="1"/>
  <c r="H63" i="2"/>
  <c r="F63" i="2"/>
  <c r="G63" i="2" s="1"/>
  <c r="H64" i="2"/>
  <c r="F64" i="2"/>
  <c r="G64" i="2" s="1"/>
  <c r="H65" i="2"/>
  <c r="F65" i="2"/>
  <c r="G65" i="2" s="1"/>
  <c r="H66" i="2"/>
  <c r="F66" i="2"/>
  <c r="G66" i="2" s="1"/>
  <c r="H67" i="2"/>
  <c r="F67" i="2"/>
  <c r="G67" i="2" s="1"/>
  <c r="H68" i="2"/>
  <c r="F68" i="2"/>
  <c r="G68" i="2" s="1"/>
  <c r="H69" i="2"/>
  <c r="F69" i="2"/>
  <c r="G69" i="2" s="1"/>
  <c r="H70" i="2"/>
  <c r="F70" i="2"/>
  <c r="G70" i="2" s="1"/>
  <c r="H71" i="2"/>
  <c r="F71" i="2"/>
  <c r="G71" i="2" s="1"/>
  <c r="H72" i="2"/>
  <c r="F72" i="2"/>
  <c r="G72" i="2" s="1"/>
  <c r="H73" i="2"/>
  <c r="F73" i="2"/>
  <c r="G73" i="2" s="1"/>
  <c r="H74" i="2"/>
  <c r="F74" i="2"/>
  <c r="G74" i="2" s="1"/>
  <c r="H75" i="2"/>
  <c r="F75" i="2"/>
  <c r="G75" i="2" s="1"/>
  <c r="H76" i="2"/>
  <c r="F76" i="2"/>
  <c r="G76" i="2" s="1"/>
  <c r="H77" i="2"/>
  <c r="F77" i="2"/>
  <c r="G77" i="2" s="1"/>
  <c r="H78" i="2"/>
  <c r="F78" i="2"/>
  <c r="G78" i="2" s="1"/>
  <c r="H79" i="2"/>
  <c r="F79" i="2"/>
  <c r="G79" i="2" s="1"/>
  <c r="H80" i="2"/>
  <c r="F80" i="2"/>
  <c r="G80" i="2" s="1"/>
  <c r="H81" i="2"/>
  <c r="F81" i="2"/>
  <c r="G81" i="2" s="1"/>
  <c r="H82" i="2"/>
  <c r="F82" i="2"/>
  <c r="G82" i="2" s="1"/>
  <c r="H83" i="2"/>
  <c r="F83" i="2"/>
  <c r="G83" i="2" s="1"/>
  <c r="H84" i="2"/>
  <c r="F84" i="2"/>
  <c r="G84" i="2" s="1"/>
  <c r="H85" i="2"/>
  <c r="F85" i="2"/>
  <c r="G85" i="2" s="1"/>
  <c r="H86" i="2"/>
  <c r="F86" i="2"/>
  <c r="G86" i="2" s="1"/>
  <c r="H87" i="2"/>
  <c r="F87" i="2"/>
  <c r="G87" i="2" s="1"/>
  <c r="H88" i="2"/>
  <c r="F88" i="2"/>
  <c r="G88" i="2" s="1"/>
  <c r="H89" i="2"/>
  <c r="F89" i="2"/>
  <c r="G89" i="2" s="1"/>
  <c r="H90" i="2"/>
  <c r="F90" i="2"/>
  <c r="G90" i="2" s="1"/>
  <c r="H91" i="2"/>
  <c r="F91" i="2"/>
  <c r="G91" i="2" s="1"/>
  <c r="H92" i="2"/>
  <c r="F92" i="2"/>
  <c r="G92" i="2" s="1"/>
  <c r="H93" i="2"/>
  <c r="F93" i="2"/>
  <c r="G93" i="2" s="1"/>
  <c r="H94" i="2"/>
  <c r="F94" i="2"/>
  <c r="G94" i="2" s="1"/>
  <c r="H95" i="2"/>
  <c r="F95" i="2"/>
  <c r="G95" i="2" s="1"/>
  <c r="H96" i="2"/>
  <c r="F96" i="2"/>
  <c r="G96" i="2" s="1"/>
  <c r="H97" i="2"/>
  <c r="F97" i="2"/>
  <c r="G97" i="2" s="1"/>
  <c r="H98" i="2"/>
  <c r="F98" i="2"/>
  <c r="G98" i="2" s="1"/>
  <c r="H99" i="2"/>
  <c r="F99" i="2"/>
  <c r="G99" i="2" s="1"/>
  <c r="H100" i="2"/>
  <c r="F100" i="2"/>
  <c r="G100" i="2" s="1"/>
  <c r="H101" i="2"/>
  <c r="F101" i="2"/>
  <c r="G101" i="2" s="1"/>
  <c r="H102" i="2"/>
  <c r="F102" i="2"/>
  <c r="G102" i="2" s="1"/>
  <c r="H103" i="2"/>
  <c r="F103" i="2"/>
  <c r="G103" i="2" s="1"/>
  <c r="H104" i="2"/>
  <c r="F104" i="2"/>
  <c r="G104" i="2" s="1"/>
  <c r="H105" i="2"/>
  <c r="F105" i="2"/>
  <c r="G105" i="2" s="1"/>
  <c r="H106" i="2"/>
  <c r="F106" i="2"/>
  <c r="G106" i="2" s="1"/>
  <c r="H107" i="2"/>
  <c r="F107" i="2"/>
  <c r="G107" i="2" s="1"/>
  <c r="H108" i="2"/>
  <c r="F108" i="2"/>
  <c r="G108" i="2" s="1"/>
  <c r="H109" i="2"/>
  <c r="F109" i="2"/>
  <c r="G109" i="2" s="1"/>
  <c r="H110" i="2"/>
  <c r="F110" i="2"/>
  <c r="G110" i="2" s="1"/>
  <c r="H111" i="2"/>
  <c r="F111" i="2"/>
  <c r="G111" i="2" s="1"/>
  <c r="H112" i="2"/>
  <c r="F112" i="2"/>
  <c r="G112" i="2" s="1"/>
  <c r="H113" i="2"/>
  <c r="F113" i="2"/>
  <c r="G113" i="2" s="1"/>
  <c r="H114" i="2"/>
  <c r="F114" i="2"/>
  <c r="G114" i="2" s="1"/>
  <c r="H115" i="2"/>
  <c r="F115" i="2"/>
  <c r="G115" i="2" s="1"/>
  <c r="H116" i="2"/>
  <c r="F116" i="2"/>
  <c r="G116" i="2" s="1"/>
  <c r="H117" i="2"/>
  <c r="F117" i="2"/>
  <c r="G117" i="2" s="1"/>
  <c r="H118" i="2"/>
  <c r="F118" i="2"/>
  <c r="G118" i="2" s="1"/>
  <c r="H119" i="2"/>
  <c r="F119" i="2"/>
  <c r="H120" i="2"/>
  <c r="F120" i="2"/>
  <c r="G120" i="2" s="1"/>
  <c r="H121" i="2"/>
  <c r="F121" i="2"/>
  <c r="G121" i="2" s="1"/>
  <c r="E9" i="3" l="1"/>
  <c r="B9" i="3"/>
  <c r="G119" i="2"/>
  <c r="B19" i="3" s="1"/>
  <c r="B17" i="3"/>
  <c r="E6" i="4"/>
  <c r="B20" i="3"/>
  <c r="B10" i="3"/>
  <c r="B18" i="3"/>
  <c r="E10" i="3"/>
  <c r="B7" i="3"/>
  <c r="E8" i="3"/>
  <c r="E7" i="3"/>
  <c r="C13" i="3" l="1"/>
  <c r="B11" i="3" s="1"/>
</calcChain>
</file>

<file path=xl/sharedStrings.xml><?xml version="1.0" encoding="utf-8"?>
<sst xmlns="http://schemas.openxmlformats.org/spreadsheetml/2006/main" count="435" uniqueCount="65">
  <si>
    <t>Regions</t>
  </si>
  <si>
    <t>Products</t>
  </si>
  <si>
    <t>Default Unit Price</t>
  </si>
  <si>
    <t>Reps</t>
  </si>
  <si>
    <t>Email</t>
  </si>
  <si>
    <t>North</t>
  </si>
  <si>
    <t>Widget</t>
  </si>
  <si>
    <t>A. Chen</t>
  </si>
  <si>
    <t>a.chen@example.com</t>
  </si>
  <si>
    <t>South</t>
  </si>
  <si>
    <t>Gizmo</t>
  </si>
  <si>
    <t>B. Patel</t>
  </si>
  <si>
    <t>b.patel@example.com</t>
  </si>
  <si>
    <t>East</t>
  </si>
  <si>
    <t>Doohickey</t>
  </si>
  <si>
    <t>C. Garcia</t>
  </si>
  <si>
    <t>c.garcia@example.com</t>
  </si>
  <si>
    <t>West</t>
  </si>
  <si>
    <t>Service Plan</t>
  </si>
  <si>
    <t>D. Smith</t>
  </si>
  <si>
    <t>d.smith@example.com</t>
  </si>
  <si>
    <t>Date</t>
  </si>
  <si>
    <t>Region</t>
  </si>
  <si>
    <t>Rep</t>
  </si>
  <si>
    <t>Product</t>
  </si>
  <si>
    <t>Units</t>
  </si>
  <si>
    <t>Unit Price</t>
  </si>
  <si>
    <t>Revenue</t>
  </si>
  <si>
    <t>Month</t>
  </si>
  <si>
    <t>Confluence XLSX Macro Test Workbook</t>
  </si>
  <si>
    <t>Filter Region:</t>
  </si>
  <si>
    <t>Filter Product:</t>
  </si>
  <si>
    <t>Metric</t>
  </si>
  <si>
    <t>Value</t>
  </si>
  <si>
    <t>Total Revenue (Region)</t>
  </si>
  <si>
    <t>2025-10</t>
  </si>
  <si>
    <t>Total Units (Region)</t>
  </si>
  <si>
    <t>2025-11</t>
  </si>
  <si>
    <t>Avg Unit Price (Region)</t>
  </si>
  <si>
    <t>2025-12</t>
  </si>
  <si>
    <t>Total Revenue (Region + Product)</t>
  </si>
  <si>
    <t>2026-01</t>
  </si>
  <si>
    <t>Rep Email Lookup (tests IFERROR+VLOOKUP)</t>
  </si>
  <si>
    <t>Top Rep (by Revenue, in selected Region)</t>
  </si>
  <si>
    <t>This uses helper columns below; it’s a good test for formulas + chart rendering.</t>
  </si>
  <si>
    <t>Formula &amp; Feature Tests</t>
  </si>
  <si>
    <t>Test</t>
  </si>
  <si>
    <t>Label</t>
  </si>
  <si>
    <t>Input / Value</t>
  </si>
  <si>
    <t>Notes</t>
  </si>
  <si>
    <t>Formula Result</t>
  </si>
  <si>
    <t>Relative vs Absolute refs</t>
  </si>
  <si>
    <t>Rate</t>
  </si>
  <si>
    <t>IF / AND / OR</t>
  </si>
  <si>
    <t>Score</t>
  </si>
  <si>
    <t>COUNTIF</t>
  </si>
  <si>
    <t>Region=North</t>
  </si>
  <si>
    <t>SUMIF</t>
  </si>
  <si>
    <t>Revenue where Units&gt;50</t>
  </si>
  <si>
    <t>INDEX/MATCH</t>
  </si>
  <si>
    <t>Default price for Gizmo</t>
  </si>
  <si>
    <t>IFERROR</t>
  </si>
  <si>
    <t>Bad lookup returns blank</t>
  </si>
  <si>
    <t>DATE math</t>
  </si>
  <si>
    <t>End of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</si>
</sst>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6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7EEF7"/>
      </patternFill>
    </fill>
    <fill>
      <patternFill patternType="solid">
        <fgColor rgb="FF1F4E79"/>
      </patternFill>
    </fill>
    <fill>
      <patternFill patternType="solid">
        <fgColor rgb="FFFAFAF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165" fontId="0" fillId="4" borderId="1" xfId="0" applyNumberFormat="1" applyFill="1" applyBorder="1"/>
    <xf numFmtId="0" fontId="0" fillId="4" borderId="1" xfId="0" applyFill="1" applyBorder="1"/>
    <xf numFmtId="3" fontId="0" fillId="4" borderId="1" xfId="0" applyNumberFormat="1" applyFill="1" applyBorder="1"/>
    <xf numFmtId="164" fontId="0" fillId="4" borderId="1" xfId="0" applyNumberFormat="1" applyFill="1" applyBorder="1"/>
    <xf numFmtId="165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2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5" borderId="1" xfId="0" applyFont="1" applyFill="1" applyBorder="1"/>
    <xf numFmtId="10" fontId="0" fillId="0" borderId="1" xfId="0" applyNumberFormat="1" applyBorder="1"/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3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Rep (Selected Region)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Summary!$B$16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Summary!$A$17:$A$20</c:f>
              <c:strCache>
                <c:ptCount val="4"/>
                <c:pt idx="0">
                  <c:v>A. Chen</c:v>
                </c:pt>
                <c:pt idx="1">
                  <c:v>B. Patel</c:v>
                </c:pt>
                <c:pt idx="2">
                  <c:v>C. Garcia</c:v>
                </c:pt>
                <c:pt idx="3">
                  <c:v>D. Smith</c:v>
                </c:pt>
              </c:strCache>
            </c:strRef>
          </c:cat>
          <c:val>
            <c:numRef>
              <c:f>Summary!$B$17:$B$20</c:f>
              <c:numCache>
                <c:formatCode>[$$-409]#,##0.00</c:formatCode>
                <c:ptCount val="4"/>
                <c:pt idx="0">
                  <c:v>7567.74</c:v>
                </c:pt>
                <c:pt idx="1">
                  <c:v>12306.5</c:v>
                </c:pt>
                <c:pt idx="2">
                  <c:v>20276.3</c:v>
                </c:pt>
                <c:pt idx="3">
                  <c:v>11191.98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6-5A43-8BD6-0BD0EB27F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1"/>
        </c:title>
        <c:numFmt formatCode="[$$-409]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 (Selected Region)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Summary!$E$6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Summary!$D$7:$D$10</c:f>
              <c:strCache>
                <c:ptCount val="4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</c:strCache>
            </c:strRef>
          </c:cat>
          <c:val>
            <c:numRef>
              <c:f>Summary!$E$7:$E$10</c:f>
              <c:numCache>
                <c:formatCode>[$$-409]#,##0.00</c:formatCode>
                <c:ptCount val="4"/>
                <c:pt idx="0">
                  <c:v>13471.41</c:v>
                </c:pt>
                <c:pt idx="1">
                  <c:v>16899.86</c:v>
                </c:pt>
                <c:pt idx="2">
                  <c:v>15767.839999999998</c:v>
                </c:pt>
                <c:pt idx="3">
                  <c:v>5203.41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00-894B-9B2A-D8C2B0EE4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1"/>
        </c:title>
        <c:numFmt formatCode="[$$-409]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21</xdr:row>
      <xdr:rowOff>0</xdr:rowOff>
    </xdr:from>
    <xdr:ext cx="64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H121">
  <autoFilter ref="A1:H121" xr:uid="{00000000-0009-0000-0100-000001000000}"/>
  <sortState xmlns:xlrd2="http://schemas.microsoft.com/office/spreadsheetml/2017/richdata2" ref="A2:H121">
    <sortCondition descending="1" ref="A1:A121"/>
  </sortState>
  <tableColumns count="8">
    <tableColumn id="1" xr3:uid="{00000000-0010-0000-0000-000001000000}" name="Date"/>
    <tableColumn id="2" xr3:uid="{00000000-0010-0000-0000-000002000000}" name="Region"/>
    <tableColumn id="3" xr3:uid="{00000000-0010-0000-0000-000003000000}" name="Rep"/>
    <tableColumn id="4" xr3:uid="{00000000-0010-0000-0000-000004000000}" name="Product"/>
    <tableColumn id="5" xr3:uid="{00000000-0010-0000-0000-000005000000}" name="Units"/>
    <tableColumn id="6" xr3:uid="{00000000-0010-0000-0000-000006000000}" name="Unit Price"/>
    <tableColumn id="7" xr3:uid="{00000000-0010-0000-0000-000007000000}" name="Revenue"/>
    <tableColumn id="8" xr3:uid="{00000000-0010-0000-0000-000008000000}" name="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/>
  </sheetViews>
  <sheetFormatPr baseColWidth="10" defaultColWidth="8.83203125" defaultRowHeight="15" x14ac:dyDescent="0.2"/>
  <cols>
    <col min="1" max="1" width="14" customWidth="1"/>
    <col min="3" max="4" width="18" customWidth="1"/>
    <col min="5" max="5" width="14" customWidth="1"/>
    <col min="6" max="6" width="26" customWidth="1"/>
  </cols>
  <sheetData>
    <row r="1" spans="1:6" x14ac:dyDescent="0.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5</v>
      </c>
      <c r="C2" t="s">
        <v>6</v>
      </c>
      <c r="D2" s="2">
        <v>19.989999999999998</v>
      </c>
      <c r="E2" t="s">
        <v>7</v>
      </c>
      <c r="F2" t="s">
        <v>8</v>
      </c>
    </row>
    <row r="3" spans="1:6" x14ac:dyDescent="0.2">
      <c r="A3" t="s">
        <v>9</v>
      </c>
      <c r="C3" t="s">
        <v>10</v>
      </c>
      <c r="D3" s="2">
        <v>35.5</v>
      </c>
      <c r="E3" t="s">
        <v>11</v>
      </c>
      <c r="F3" t="s">
        <v>12</v>
      </c>
    </row>
    <row r="4" spans="1:6" x14ac:dyDescent="0.2">
      <c r="A4" t="s">
        <v>13</v>
      </c>
      <c r="C4" t="s">
        <v>14</v>
      </c>
      <c r="D4" s="2">
        <v>12.75</v>
      </c>
      <c r="E4" t="s">
        <v>15</v>
      </c>
      <c r="F4" t="s">
        <v>16</v>
      </c>
    </row>
    <row r="5" spans="1:6" x14ac:dyDescent="0.2">
      <c r="A5" t="s">
        <v>17</v>
      </c>
      <c r="C5" t="s">
        <v>18</v>
      </c>
      <c r="D5" s="2">
        <v>99</v>
      </c>
      <c r="E5" t="s">
        <v>19</v>
      </c>
      <c r="F5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abSelected="1" workbookViewId="0">
      <pane ySplit="1" topLeftCell="A2" activePane="bottomLeft" state="frozen"/>
      <selection pane="bottomLeft" activeCell="G3" sqref="G3"/>
    </sheetView>
  </sheetViews>
  <sheetFormatPr baseColWidth="10" defaultColWidth="8.83203125" defaultRowHeight="15" x14ac:dyDescent="0.2"/>
  <cols>
    <col min="1" max="2" width="12" customWidth="1"/>
    <col min="3" max="3" width="14" customWidth="1"/>
    <col min="4" max="4" width="18" customWidth="1"/>
    <col min="5" max="5" width="10" customWidth="1"/>
    <col min="6" max="7" width="12" customWidth="1"/>
    <col min="8" max="8" width="10" customWidth="1"/>
  </cols>
  <sheetData>
    <row r="1" spans="1:8" ht="16" x14ac:dyDescent="0.2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</row>
    <row r="2" spans="1:8" x14ac:dyDescent="0.2">
      <c r="A2" s="8">
        <v>46050</v>
      </c>
      <c r="B2" s="9" t="s">
        <v>13</v>
      </c>
      <c r="C2" s="9" t="s">
        <v>15</v>
      </c>
      <c r="D2" s="9" t="s">
        <v>10</v>
      </c>
      <c r="E2" s="10">
        <v>19</v>
      </c>
      <c r="F2" s="11">
        <f>VLOOKUP(D2,ProductPrices,2,FALSE)</f>
        <v>35.5</v>
      </c>
      <c r="G2" s="11">
        <f>E2*F2</f>
        <v>674.5</v>
      </c>
      <c r="H2" s="9" t="str">
        <f>TEXT(A2,"yyyy-mm")</f>
        <v>2026-01</v>
      </c>
    </row>
    <row r="3" spans="1:8" x14ac:dyDescent="0.2">
      <c r="A3" s="4">
        <v>46049</v>
      </c>
      <c r="B3" s="5" t="s">
        <v>13</v>
      </c>
      <c r="C3" s="5" t="s">
        <v>15</v>
      </c>
      <c r="D3" s="5" t="s">
        <v>14</v>
      </c>
      <c r="E3" s="6">
        <v>44</v>
      </c>
      <c r="F3" s="7">
        <f>VLOOKUP(D3,ProductPrices,2,FALSE)</f>
        <v>12.75</v>
      </c>
      <c r="G3" s="7">
        <f>E3*F3</f>
        <v>561</v>
      </c>
      <c r="H3" s="5" t="str">
        <f>TEXT(A3,"yyyy-mm")</f>
        <v>2026-01</v>
      </c>
    </row>
    <row r="4" spans="1:8" x14ac:dyDescent="0.2">
      <c r="A4" s="8">
        <v>46048</v>
      </c>
      <c r="B4" s="9" t="s">
        <v>5</v>
      </c>
      <c r="C4" s="9" t="s">
        <v>15</v>
      </c>
      <c r="D4" s="9" t="s">
        <v>18</v>
      </c>
      <c r="E4" s="10">
        <v>9</v>
      </c>
      <c r="F4" s="11">
        <f>VLOOKUP(D4,ProductPrices,2,FALSE)</f>
        <v>99</v>
      </c>
      <c r="G4" s="11">
        <f>E4*F4</f>
        <v>891</v>
      </c>
      <c r="H4" s="9" t="str">
        <f>TEXT(A4,"yyyy-mm")</f>
        <v>2026-01</v>
      </c>
    </row>
    <row r="5" spans="1:8" x14ac:dyDescent="0.2">
      <c r="A5" s="4">
        <v>46047</v>
      </c>
      <c r="B5" s="5" t="s">
        <v>5</v>
      </c>
      <c r="C5" s="5" t="s">
        <v>7</v>
      </c>
      <c r="D5" s="5" t="s">
        <v>14</v>
      </c>
      <c r="E5" s="6">
        <v>60</v>
      </c>
      <c r="F5" s="7">
        <f>VLOOKUP(D5,ProductPrices,2,FALSE)</f>
        <v>12.75</v>
      </c>
      <c r="G5" s="7">
        <f>E5*F5</f>
        <v>765</v>
      </c>
      <c r="H5" s="5" t="str">
        <f>TEXT(A5,"yyyy-mm")</f>
        <v>2026-01</v>
      </c>
    </row>
    <row r="6" spans="1:8" x14ac:dyDescent="0.2">
      <c r="A6" s="8">
        <v>46046</v>
      </c>
      <c r="B6" s="9" t="s">
        <v>13</v>
      </c>
      <c r="C6" s="9" t="s">
        <v>7</v>
      </c>
      <c r="D6" s="9" t="s">
        <v>18</v>
      </c>
      <c r="E6" s="10">
        <v>28</v>
      </c>
      <c r="F6" s="11">
        <f>VLOOKUP(D6,ProductPrices,2,FALSE)</f>
        <v>99</v>
      </c>
      <c r="G6" s="11">
        <f>E6*F6</f>
        <v>2772</v>
      </c>
      <c r="H6" s="9" t="str">
        <f>TEXT(A6,"yyyy-mm")</f>
        <v>2026-01</v>
      </c>
    </row>
    <row r="7" spans="1:8" x14ac:dyDescent="0.2">
      <c r="A7" s="4">
        <v>46045</v>
      </c>
      <c r="B7" s="5" t="s">
        <v>5</v>
      </c>
      <c r="C7" s="5" t="s">
        <v>15</v>
      </c>
      <c r="D7" s="5" t="s">
        <v>6</v>
      </c>
      <c r="E7" s="6">
        <v>17</v>
      </c>
      <c r="F7" s="7">
        <f>VLOOKUP(D7,ProductPrices,2,FALSE)</f>
        <v>19.989999999999998</v>
      </c>
      <c r="G7" s="7">
        <f>E7*F7</f>
        <v>339.83</v>
      </c>
      <c r="H7" s="5" t="str">
        <f>TEXT(A7,"yyyy-mm")</f>
        <v>2026-01</v>
      </c>
    </row>
    <row r="8" spans="1:8" x14ac:dyDescent="0.2">
      <c r="A8" s="8">
        <v>46044</v>
      </c>
      <c r="B8" s="9" t="s">
        <v>17</v>
      </c>
      <c r="C8" s="9" t="s">
        <v>7</v>
      </c>
      <c r="D8" s="9" t="s">
        <v>18</v>
      </c>
      <c r="E8" s="10">
        <v>7</v>
      </c>
      <c r="F8" s="11">
        <f>VLOOKUP(D8,ProductPrices,2,FALSE)</f>
        <v>99</v>
      </c>
      <c r="G8" s="11">
        <f>E8*F8</f>
        <v>693</v>
      </c>
      <c r="H8" s="9" t="str">
        <f>TEXT(A8,"yyyy-mm")</f>
        <v>2026-01</v>
      </c>
    </row>
    <row r="9" spans="1:8" x14ac:dyDescent="0.2">
      <c r="A9" s="4">
        <v>46043</v>
      </c>
      <c r="B9" s="5" t="s">
        <v>5</v>
      </c>
      <c r="C9" s="5" t="s">
        <v>7</v>
      </c>
      <c r="D9" s="5" t="s">
        <v>10</v>
      </c>
      <c r="E9" s="6">
        <v>43</v>
      </c>
      <c r="F9" s="7">
        <f>VLOOKUP(D9,ProductPrices,2,FALSE)</f>
        <v>35.5</v>
      </c>
      <c r="G9" s="7">
        <f>E9*F9</f>
        <v>1526.5</v>
      </c>
      <c r="H9" s="5" t="str">
        <f>TEXT(A9,"yyyy-mm")</f>
        <v>2026-01</v>
      </c>
    </row>
    <row r="10" spans="1:8" x14ac:dyDescent="0.2">
      <c r="A10" s="8">
        <v>46042</v>
      </c>
      <c r="B10" s="9" t="s">
        <v>9</v>
      </c>
      <c r="C10" s="9" t="s">
        <v>11</v>
      </c>
      <c r="D10" s="9" t="s">
        <v>10</v>
      </c>
      <c r="E10" s="10">
        <v>30</v>
      </c>
      <c r="F10" s="11">
        <f>VLOOKUP(D10,ProductPrices,2,FALSE)</f>
        <v>35.5</v>
      </c>
      <c r="G10" s="11">
        <f>E10*F10</f>
        <v>1065</v>
      </c>
      <c r="H10" s="9" t="str">
        <f>TEXT(A10,"yyyy-mm")</f>
        <v>2026-01</v>
      </c>
    </row>
    <row r="11" spans="1:8" x14ac:dyDescent="0.2">
      <c r="A11" s="4">
        <v>46041</v>
      </c>
      <c r="B11" s="5" t="s">
        <v>17</v>
      </c>
      <c r="C11" s="5" t="s">
        <v>7</v>
      </c>
      <c r="D11" s="5" t="s">
        <v>14</v>
      </c>
      <c r="E11" s="6">
        <v>52</v>
      </c>
      <c r="F11" s="7">
        <f>VLOOKUP(D11,ProductPrices,2,FALSE)</f>
        <v>12.75</v>
      </c>
      <c r="G11" s="7">
        <f>E11*F11</f>
        <v>663</v>
      </c>
      <c r="H11" s="5" t="str">
        <f>TEXT(A11,"yyyy-mm")</f>
        <v>2026-01</v>
      </c>
    </row>
    <row r="12" spans="1:8" x14ac:dyDescent="0.2">
      <c r="A12" s="8">
        <v>46040</v>
      </c>
      <c r="B12" s="9" t="s">
        <v>17</v>
      </c>
      <c r="C12" s="9" t="s">
        <v>15</v>
      </c>
      <c r="D12" s="9" t="s">
        <v>18</v>
      </c>
      <c r="E12" s="10">
        <v>44</v>
      </c>
      <c r="F12" s="11">
        <f>VLOOKUP(D12,ProductPrices,2,FALSE)</f>
        <v>99</v>
      </c>
      <c r="G12" s="11">
        <f>E12*F12</f>
        <v>4356</v>
      </c>
      <c r="H12" s="9" t="str">
        <f>TEXT(A12,"yyyy-mm")</f>
        <v>2026-01</v>
      </c>
    </row>
    <row r="13" spans="1:8" x14ac:dyDescent="0.2">
      <c r="A13" s="4">
        <v>46039</v>
      </c>
      <c r="B13" s="5" t="s">
        <v>13</v>
      </c>
      <c r="C13" s="5" t="s">
        <v>15</v>
      </c>
      <c r="D13" s="5" t="s">
        <v>6</v>
      </c>
      <c r="E13" s="6">
        <v>21</v>
      </c>
      <c r="F13" s="7">
        <f>VLOOKUP(D13,ProductPrices,2,FALSE)</f>
        <v>19.989999999999998</v>
      </c>
      <c r="G13" s="7">
        <f>E13*F13</f>
        <v>419.78999999999996</v>
      </c>
      <c r="H13" s="5" t="str">
        <f>TEXT(A13,"yyyy-mm")</f>
        <v>2026-01</v>
      </c>
    </row>
    <row r="14" spans="1:8" x14ac:dyDescent="0.2">
      <c r="A14" s="8">
        <v>46038</v>
      </c>
      <c r="B14" s="9" t="s">
        <v>9</v>
      </c>
      <c r="C14" s="9" t="s">
        <v>19</v>
      </c>
      <c r="D14" s="9" t="s">
        <v>6</v>
      </c>
      <c r="E14" s="10">
        <v>56</v>
      </c>
      <c r="F14" s="11">
        <f>VLOOKUP(D14,ProductPrices,2,FALSE)</f>
        <v>19.989999999999998</v>
      </c>
      <c r="G14" s="11">
        <f>E14*F14</f>
        <v>1119.4399999999998</v>
      </c>
      <c r="H14" s="9" t="str">
        <f>TEXT(A14,"yyyy-mm")</f>
        <v>2026-01</v>
      </c>
    </row>
    <row r="15" spans="1:8" x14ac:dyDescent="0.2">
      <c r="A15" s="4">
        <v>46037</v>
      </c>
      <c r="B15" s="5" t="s">
        <v>17</v>
      </c>
      <c r="C15" s="5" t="s">
        <v>15</v>
      </c>
      <c r="D15" s="5" t="s">
        <v>18</v>
      </c>
      <c r="E15" s="6">
        <v>55</v>
      </c>
      <c r="F15" s="7">
        <f>VLOOKUP(D15,ProductPrices,2,FALSE)</f>
        <v>99</v>
      </c>
      <c r="G15" s="7">
        <f>E15*F15</f>
        <v>5445</v>
      </c>
      <c r="H15" s="5" t="str">
        <f>TEXT(A15,"yyyy-mm")</f>
        <v>2026-01</v>
      </c>
    </row>
    <row r="16" spans="1:8" x14ac:dyDescent="0.2">
      <c r="A16" s="8">
        <v>46036</v>
      </c>
      <c r="B16" s="9" t="s">
        <v>5</v>
      </c>
      <c r="C16" s="9" t="s">
        <v>7</v>
      </c>
      <c r="D16" s="9" t="s">
        <v>6</v>
      </c>
      <c r="E16" s="10">
        <v>42</v>
      </c>
      <c r="F16" s="11">
        <f>VLOOKUP(D16,ProductPrices,2,FALSE)</f>
        <v>19.989999999999998</v>
      </c>
      <c r="G16" s="11">
        <f>E16*F16</f>
        <v>839.57999999999993</v>
      </c>
      <c r="H16" s="9" t="str">
        <f>TEXT(A16,"yyyy-mm")</f>
        <v>2026-01</v>
      </c>
    </row>
    <row r="17" spans="1:8" x14ac:dyDescent="0.2">
      <c r="A17" s="4">
        <v>46035</v>
      </c>
      <c r="B17" s="5" t="s">
        <v>17</v>
      </c>
      <c r="C17" s="5" t="s">
        <v>11</v>
      </c>
      <c r="D17" s="5" t="s">
        <v>6</v>
      </c>
      <c r="E17" s="6">
        <v>15</v>
      </c>
      <c r="F17" s="7">
        <f>VLOOKUP(D17,ProductPrices,2,FALSE)</f>
        <v>19.989999999999998</v>
      </c>
      <c r="G17" s="7">
        <f>E17*F17</f>
        <v>299.84999999999997</v>
      </c>
      <c r="H17" s="5" t="str">
        <f>TEXT(A17,"yyyy-mm")</f>
        <v>2026-01</v>
      </c>
    </row>
    <row r="18" spans="1:8" x14ac:dyDescent="0.2">
      <c r="A18" s="8">
        <v>46034</v>
      </c>
      <c r="B18" s="9" t="s">
        <v>5</v>
      </c>
      <c r="C18" s="9" t="s">
        <v>19</v>
      </c>
      <c r="D18" s="9" t="s">
        <v>14</v>
      </c>
      <c r="E18" s="10">
        <v>66</v>
      </c>
      <c r="F18" s="11">
        <f>VLOOKUP(D18,ProductPrices,2,FALSE)</f>
        <v>12.75</v>
      </c>
      <c r="G18" s="11">
        <f>E18*F18</f>
        <v>841.5</v>
      </c>
      <c r="H18" s="9" t="str">
        <f>TEXT(A18,"yyyy-mm")</f>
        <v>2026-01</v>
      </c>
    </row>
    <row r="19" spans="1:8" x14ac:dyDescent="0.2">
      <c r="A19" s="4">
        <v>46033</v>
      </c>
      <c r="B19" s="5" t="s">
        <v>13</v>
      </c>
      <c r="C19" s="5" t="s">
        <v>19</v>
      </c>
      <c r="D19" s="5" t="s">
        <v>6</v>
      </c>
      <c r="E19" s="6">
        <v>29</v>
      </c>
      <c r="F19" s="7">
        <f>VLOOKUP(D19,ProductPrices,2,FALSE)</f>
        <v>19.989999999999998</v>
      </c>
      <c r="G19" s="7">
        <f>E19*F19</f>
        <v>579.70999999999992</v>
      </c>
      <c r="H19" s="5" t="str">
        <f>TEXT(A19,"yyyy-mm")</f>
        <v>2026-01</v>
      </c>
    </row>
    <row r="20" spans="1:8" x14ac:dyDescent="0.2">
      <c r="A20" s="8">
        <v>46032</v>
      </c>
      <c r="B20" s="9" t="s">
        <v>17</v>
      </c>
      <c r="C20" s="9" t="s">
        <v>19</v>
      </c>
      <c r="D20" s="9" t="s">
        <v>6</v>
      </c>
      <c r="E20" s="10">
        <v>30</v>
      </c>
      <c r="F20" s="11">
        <f>VLOOKUP(D20,ProductPrices,2,FALSE)</f>
        <v>19.989999999999998</v>
      </c>
      <c r="G20" s="11">
        <f>E20*F20</f>
        <v>599.69999999999993</v>
      </c>
      <c r="H20" s="9" t="str">
        <f>TEXT(A20,"yyyy-mm")</f>
        <v>2026-01</v>
      </c>
    </row>
    <row r="21" spans="1:8" x14ac:dyDescent="0.2">
      <c r="A21" s="4">
        <v>46031</v>
      </c>
      <c r="B21" s="5" t="s">
        <v>9</v>
      </c>
      <c r="C21" s="5" t="s">
        <v>11</v>
      </c>
      <c r="D21" s="5" t="s">
        <v>18</v>
      </c>
      <c r="E21" s="6">
        <v>37</v>
      </c>
      <c r="F21" s="7">
        <f>VLOOKUP(D21,ProductPrices,2,FALSE)</f>
        <v>99</v>
      </c>
      <c r="G21" s="7">
        <f>E21*F21</f>
        <v>3663</v>
      </c>
      <c r="H21" s="5" t="str">
        <f>TEXT(A21,"yyyy-mm")</f>
        <v>2026-01</v>
      </c>
    </row>
    <row r="22" spans="1:8" x14ac:dyDescent="0.2">
      <c r="A22" s="8">
        <v>46030</v>
      </c>
      <c r="B22" s="9" t="s">
        <v>13</v>
      </c>
      <c r="C22" s="9" t="s">
        <v>11</v>
      </c>
      <c r="D22" s="9" t="s">
        <v>18</v>
      </c>
      <c r="E22" s="10">
        <v>1</v>
      </c>
      <c r="F22" s="11">
        <f>VLOOKUP(D22,ProductPrices,2,FALSE)</f>
        <v>99</v>
      </c>
      <c r="G22" s="11">
        <f>E22*F22</f>
        <v>99</v>
      </c>
      <c r="H22" s="9" t="str">
        <f>TEXT(A22,"yyyy-mm")</f>
        <v>2026-01</v>
      </c>
    </row>
    <row r="23" spans="1:8" x14ac:dyDescent="0.2">
      <c r="A23" s="4">
        <v>46029</v>
      </c>
      <c r="B23" s="5" t="s">
        <v>9</v>
      </c>
      <c r="C23" s="5" t="s">
        <v>11</v>
      </c>
      <c r="D23" s="5" t="s">
        <v>14</v>
      </c>
      <c r="E23" s="6">
        <v>67</v>
      </c>
      <c r="F23" s="7">
        <f>VLOOKUP(D23,ProductPrices,2,FALSE)</f>
        <v>12.75</v>
      </c>
      <c r="G23" s="7">
        <f>E23*F23</f>
        <v>854.25</v>
      </c>
      <c r="H23" s="5" t="str">
        <f>TEXT(A23,"yyyy-mm")</f>
        <v>2026-01</v>
      </c>
    </row>
    <row r="24" spans="1:8" x14ac:dyDescent="0.2">
      <c r="A24" s="8">
        <v>46028</v>
      </c>
      <c r="B24" s="9" t="s">
        <v>9</v>
      </c>
      <c r="C24" s="9" t="s">
        <v>19</v>
      </c>
      <c r="D24" s="9" t="s">
        <v>14</v>
      </c>
      <c r="E24" s="10">
        <v>55</v>
      </c>
      <c r="F24" s="11">
        <f>VLOOKUP(D24,ProductPrices,2,FALSE)</f>
        <v>12.75</v>
      </c>
      <c r="G24" s="11">
        <f>E24*F24</f>
        <v>701.25</v>
      </c>
      <c r="H24" s="9" t="str">
        <f>TEXT(A24,"yyyy-mm")</f>
        <v>2026-01</v>
      </c>
    </row>
    <row r="25" spans="1:8" x14ac:dyDescent="0.2">
      <c r="A25" s="4">
        <v>46027</v>
      </c>
      <c r="B25" s="5" t="s">
        <v>17</v>
      </c>
      <c r="C25" s="5" t="s">
        <v>7</v>
      </c>
      <c r="D25" s="5" t="s">
        <v>14</v>
      </c>
      <c r="E25" s="6">
        <v>73</v>
      </c>
      <c r="F25" s="7">
        <f>VLOOKUP(D25,ProductPrices,2,FALSE)</f>
        <v>12.75</v>
      </c>
      <c r="G25" s="7">
        <f>E25*F25</f>
        <v>930.75</v>
      </c>
      <c r="H25" s="5" t="str">
        <f>TEXT(A25,"yyyy-mm")</f>
        <v>2026-01</v>
      </c>
    </row>
    <row r="26" spans="1:8" x14ac:dyDescent="0.2">
      <c r="A26" s="8">
        <v>46026</v>
      </c>
      <c r="B26" s="9" t="s">
        <v>17</v>
      </c>
      <c r="C26" s="9" t="s">
        <v>15</v>
      </c>
      <c r="D26" s="9" t="s">
        <v>6</v>
      </c>
      <c r="E26" s="10">
        <v>66</v>
      </c>
      <c r="F26" s="11">
        <f>VLOOKUP(D26,ProductPrices,2,FALSE)</f>
        <v>19.989999999999998</v>
      </c>
      <c r="G26" s="11">
        <f>E26*F26</f>
        <v>1319.34</v>
      </c>
      <c r="H26" s="9" t="str">
        <f>TEXT(A26,"yyyy-mm")</f>
        <v>2026-01</v>
      </c>
    </row>
    <row r="27" spans="1:8" x14ac:dyDescent="0.2">
      <c r="A27" s="4">
        <v>46025</v>
      </c>
      <c r="B27" s="5" t="s">
        <v>13</v>
      </c>
      <c r="C27" s="5" t="s">
        <v>19</v>
      </c>
      <c r="D27" s="5" t="s">
        <v>18</v>
      </c>
      <c r="E27" s="6">
        <v>51</v>
      </c>
      <c r="F27" s="7">
        <f>VLOOKUP(D27,ProductPrices,2,FALSE)</f>
        <v>99</v>
      </c>
      <c r="G27" s="7">
        <f>E27*F27</f>
        <v>5049</v>
      </c>
      <c r="H27" s="5" t="str">
        <f>TEXT(A27,"yyyy-mm")</f>
        <v>2026-01</v>
      </c>
    </row>
    <row r="28" spans="1:8" x14ac:dyDescent="0.2">
      <c r="A28" s="8">
        <v>46024</v>
      </c>
      <c r="B28" s="9" t="s">
        <v>17</v>
      </c>
      <c r="C28" s="9" t="s">
        <v>7</v>
      </c>
      <c r="D28" s="9" t="s">
        <v>18</v>
      </c>
      <c r="E28" s="10">
        <v>14</v>
      </c>
      <c r="F28" s="11">
        <f>VLOOKUP(D28,ProductPrices,2,FALSE)</f>
        <v>99</v>
      </c>
      <c r="G28" s="11">
        <f>E28*F28</f>
        <v>1386</v>
      </c>
      <c r="H28" s="9" t="str">
        <f>TEXT(A28,"yyyy-mm")</f>
        <v>2026-01</v>
      </c>
    </row>
    <row r="29" spans="1:8" x14ac:dyDescent="0.2">
      <c r="A29" s="4">
        <v>46023</v>
      </c>
      <c r="B29" s="5" t="s">
        <v>17</v>
      </c>
      <c r="C29" s="5" t="s">
        <v>15</v>
      </c>
      <c r="D29" s="5" t="s">
        <v>6</v>
      </c>
      <c r="E29" s="6">
        <v>17</v>
      </c>
      <c r="F29" s="7">
        <f>VLOOKUP(D29,ProductPrices,2,FALSE)</f>
        <v>19.989999999999998</v>
      </c>
      <c r="G29" s="7">
        <f>E29*F29</f>
        <v>339.83</v>
      </c>
      <c r="H29" s="5" t="str">
        <f>TEXT(A29,"yyyy-mm")</f>
        <v>2026-01</v>
      </c>
    </row>
    <row r="30" spans="1:8" x14ac:dyDescent="0.2">
      <c r="A30" s="8">
        <v>46022</v>
      </c>
      <c r="B30" s="9" t="s">
        <v>5</v>
      </c>
      <c r="C30" s="9" t="s">
        <v>15</v>
      </c>
      <c r="D30" s="9" t="s">
        <v>10</v>
      </c>
      <c r="E30" s="10">
        <v>17</v>
      </c>
      <c r="F30" s="11">
        <f>VLOOKUP(D30,ProductPrices,2,FALSE)</f>
        <v>35.5</v>
      </c>
      <c r="G30" s="11">
        <f>E30*F30</f>
        <v>603.5</v>
      </c>
      <c r="H30" s="9" t="str">
        <f>TEXT(A30,"yyyy-mm")</f>
        <v>2025-12</v>
      </c>
    </row>
    <row r="31" spans="1:8" x14ac:dyDescent="0.2">
      <c r="A31" s="4">
        <v>46021</v>
      </c>
      <c r="B31" s="5" t="s">
        <v>17</v>
      </c>
      <c r="C31" s="5" t="s">
        <v>15</v>
      </c>
      <c r="D31" s="5" t="s">
        <v>14</v>
      </c>
      <c r="E31" s="6">
        <v>15</v>
      </c>
      <c r="F31" s="7">
        <f>VLOOKUP(D31,ProductPrices,2,FALSE)</f>
        <v>12.75</v>
      </c>
      <c r="G31" s="7">
        <f>E31*F31</f>
        <v>191.25</v>
      </c>
      <c r="H31" s="5" t="str">
        <f>TEXT(A31,"yyyy-mm")</f>
        <v>2025-12</v>
      </c>
    </row>
    <row r="32" spans="1:8" x14ac:dyDescent="0.2">
      <c r="A32" s="8">
        <v>46020</v>
      </c>
      <c r="B32" s="9" t="s">
        <v>9</v>
      </c>
      <c r="C32" s="9" t="s">
        <v>7</v>
      </c>
      <c r="D32" s="9" t="s">
        <v>6</v>
      </c>
      <c r="E32" s="10">
        <v>23</v>
      </c>
      <c r="F32" s="11">
        <f>VLOOKUP(D32,ProductPrices,2,FALSE)</f>
        <v>19.989999999999998</v>
      </c>
      <c r="G32" s="11">
        <f>E32*F32</f>
        <v>459.77</v>
      </c>
      <c r="H32" s="9" t="str">
        <f>TEXT(A32,"yyyy-mm")</f>
        <v>2025-12</v>
      </c>
    </row>
    <row r="33" spans="1:8" x14ac:dyDescent="0.2">
      <c r="A33" s="4">
        <v>46019</v>
      </c>
      <c r="B33" s="5" t="s">
        <v>13</v>
      </c>
      <c r="C33" s="5" t="s">
        <v>19</v>
      </c>
      <c r="D33" s="5" t="s">
        <v>18</v>
      </c>
      <c r="E33" s="6">
        <v>13</v>
      </c>
      <c r="F33" s="7">
        <f>VLOOKUP(D33,ProductPrices,2,FALSE)</f>
        <v>99</v>
      </c>
      <c r="G33" s="7">
        <f>E33*F33</f>
        <v>1287</v>
      </c>
      <c r="H33" s="5" t="str">
        <f>TEXT(A33,"yyyy-mm")</f>
        <v>2025-12</v>
      </c>
    </row>
    <row r="34" spans="1:8" x14ac:dyDescent="0.2">
      <c r="A34" s="8">
        <v>46018</v>
      </c>
      <c r="B34" s="9" t="s">
        <v>9</v>
      </c>
      <c r="C34" s="9" t="s">
        <v>15</v>
      </c>
      <c r="D34" s="9" t="s">
        <v>18</v>
      </c>
      <c r="E34" s="10">
        <v>36</v>
      </c>
      <c r="F34" s="11">
        <f>VLOOKUP(D34,ProductPrices,2,FALSE)</f>
        <v>99</v>
      </c>
      <c r="G34" s="11">
        <f>E34*F34</f>
        <v>3564</v>
      </c>
      <c r="H34" s="9" t="str">
        <f>TEXT(A34,"yyyy-mm")</f>
        <v>2025-12</v>
      </c>
    </row>
    <row r="35" spans="1:8" x14ac:dyDescent="0.2">
      <c r="A35" s="4">
        <v>46017</v>
      </c>
      <c r="B35" s="5" t="s">
        <v>5</v>
      </c>
      <c r="C35" s="5" t="s">
        <v>7</v>
      </c>
      <c r="D35" s="5" t="s">
        <v>10</v>
      </c>
      <c r="E35" s="6">
        <v>45</v>
      </c>
      <c r="F35" s="7">
        <f>VLOOKUP(D35,ProductPrices,2,FALSE)</f>
        <v>35.5</v>
      </c>
      <c r="G35" s="7">
        <f>E35*F35</f>
        <v>1597.5</v>
      </c>
      <c r="H35" s="5" t="str">
        <f>TEXT(A35,"yyyy-mm")</f>
        <v>2025-12</v>
      </c>
    </row>
    <row r="36" spans="1:8" x14ac:dyDescent="0.2">
      <c r="A36" s="8">
        <v>46016</v>
      </c>
      <c r="B36" s="9" t="s">
        <v>5</v>
      </c>
      <c r="C36" s="9" t="s">
        <v>7</v>
      </c>
      <c r="D36" s="9" t="s">
        <v>14</v>
      </c>
      <c r="E36" s="10">
        <v>49</v>
      </c>
      <c r="F36" s="11">
        <f>VLOOKUP(D36,ProductPrices,2,FALSE)</f>
        <v>12.75</v>
      </c>
      <c r="G36" s="11">
        <f>E36*F36</f>
        <v>624.75</v>
      </c>
      <c r="H36" s="9" t="str">
        <f>TEXT(A36,"yyyy-mm")</f>
        <v>2025-12</v>
      </c>
    </row>
    <row r="37" spans="1:8" x14ac:dyDescent="0.2">
      <c r="A37" s="4">
        <v>46015</v>
      </c>
      <c r="B37" s="5" t="s">
        <v>17</v>
      </c>
      <c r="C37" s="5" t="s">
        <v>7</v>
      </c>
      <c r="D37" s="5" t="s">
        <v>14</v>
      </c>
      <c r="E37" s="6">
        <v>37</v>
      </c>
      <c r="F37" s="7">
        <f>VLOOKUP(D37,ProductPrices,2,FALSE)</f>
        <v>12.75</v>
      </c>
      <c r="G37" s="7">
        <f>E37*F37</f>
        <v>471.75</v>
      </c>
      <c r="H37" s="5" t="str">
        <f>TEXT(A37,"yyyy-mm")</f>
        <v>2025-12</v>
      </c>
    </row>
    <row r="38" spans="1:8" x14ac:dyDescent="0.2">
      <c r="A38" s="8">
        <v>46014</v>
      </c>
      <c r="B38" s="9" t="s">
        <v>5</v>
      </c>
      <c r="C38" s="9" t="s">
        <v>15</v>
      </c>
      <c r="D38" s="9" t="s">
        <v>10</v>
      </c>
      <c r="E38" s="10">
        <v>29</v>
      </c>
      <c r="F38" s="11">
        <f>VLOOKUP(D38,ProductPrices,2,FALSE)</f>
        <v>35.5</v>
      </c>
      <c r="G38" s="11">
        <f>E38*F38</f>
        <v>1029.5</v>
      </c>
      <c r="H38" s="9" t="str">
        <f>TEXT(A38,"yyyy-mm")</f>
        <v>2025-12</v>
      </c>
    </row>
    <row r="39" spans="1:8" x14ac:dyDescent="0.2">
      <c r="A39" s="4">
        <v>46013</v>
      </c>
      <c r="B39" s="5" t="s">
        <v>17</v>
      </c>
      <c r="C39" s="5" t="s">
        <v>11</v>
      </c>
      <c r="D39" s="5" t="s">
        <v>18</v>
      </c>
      <c r="E39" s="6">
        <v>48</v>
      </c>
      <c r="F39" s="7">
        <f>VLOOKUP(D39,ProductPrices,2,FALSE)</f>
        <v>99</v>
      </c>
      <c r="G39" s="7">
        <f>E39*F39</f>
        <v>4752</v>
      </c>
      <c r="H39" s="5" t="str">
        <f>TEXT(A39,"yyyy-mm")</f>
        <v>2025-12</v>
      </c>
    </row>
    <row r="40" spans="1:8" x14ac:dyDescent="0.2">
      <c r="A40" s="8">
        <v>46012</v>
      </c>
      <c r="B40" s="9" t="s">
        <v>13</v>
      </c>
      <c r="C40" s="9" t="s">
        <v>7</v>
      </c>
      <c r="D40" s="9" t="s">
        <v>6</v>
      </c>
      <c r="E40" s="10">
        <v>59</v>
      </c>
      <c r="F40" s="11">
        <f>VLOOKUP(D40,ProductPrices,2,FALSE)</f>
        <v>19.989999999999998</v>
      </c>
      <c r="G40" s="11">
        <f>E40*F40</f>
        <v>1179.4099999999999</v>
      </c>
      <c r="H40" s="9" t="str">
        <f>TEXT(A40,"yyyy-mm")</f>
        <v>2025-12</v>
      </c>
    </row>
    <row r="41" spans="1:8" x14ac:dyDescent="0.2">
      <c r="A41" s="4">
        <v>46011</v>
      </c>
      <c r="B41" s="5" t="s">
        <v>9</v>
      </c>
      <c r="C41" s="5" t="s">
        <v>7</v>
      </c>
      <c r="D41" s="5" t="s">
        <v>14</v>
      </c>
      <c r="E41" s="6">
        <v>67</v>
      </c>
      <c r="F41" s="7">
        <f>VLOOKUP(D41,ProductPrices,2,FALSE)</f>
        <v>12.75</v>
      </c>
      <c r="G41" s="7">
        <f>E41*F41</f>
        <v>854.25</v>
      </c>
      <c r="H41" s="5" t="str">
        <f>TEXT(A41,"yyyy-mm")</f>
        <v>2025-12</v>
      </c>
    </row>
    <row r="42" spans="1:8" x14ac:dyDescent="0.2">
      <c r="A42" s="8">
        <v>46010</v>
      </c>
      <c r="B42" s="9" t="s">
        <v>17</v>
      </c>
      <c r="C42" s="9" t="s">
        <v>15</v>
      </c>
      <c r="D42" s="9" t="s">
        <v>14</v>
      </c>
      <c r="E42" s="10">
        <v>12</v>
      </c>
      <c r="F42" s="11">
        <f>VLOOKUP(D42,ProductPrices,2,FALSE)</f>
        <v>12.75</v>
      </c>
      <c r="G42" s="11">
        <f>E42*F42</f>
        <v>153</v>
      </c>
      <c r="H42" s="9" t="str">
        <f>TEXT(A42,"yyyy-mm")</f>
        <v>2025-12</v>
      </c>
    </row>
    <row r="43" spans="1:8" x14ac:dyDescent="0.2">
      <c r="A43" s="4">
        <v>46009</v>
      </c>
      <c r="B43" s="5" t="s">
        <v>17</v>
      </c>
      <c r="C43" s="5" t="s">
        <v>7</v>
      </c>
      <c r="D43" s="5" t="s">
        <v>18</v>
      </c>
      <c r="E43" s="6">
        <v>65</v>
      </c>
      <c r="F43" s="7">
        <f>VLOOKUP(D43,ProductPrices,2,FALSE)</f>
        <v>99</v>
      </c>
      <c r="G43" s="7">
        <f>E43*F43</f>
        <v>6435</v>
      </c>
      <c r="H43" s="5" t="str">
        <f>TEXT(A43,"yyyy-mm")</f>
        <v>2025-12</v>
      </c>
    </row>
    <row r="44" spans="1:8" x14ac:dyDescent="0.2">
      <c r="A44" s="8">
        <v>46008</v>
      </c>
      <c r="B44" s="9" t="s">
        <v>5</v>
      </c>
      <c r="C44" s="9" t="s">
        <v>11</v>
      </c>
      <c r="D44" s="9" t="s">
        <v>10</v>
      </c>
      <c r="E44" s="10">
        <v>30</v>
      </c>
      <c r="F44" s="11">
        <f>VLOOKUP(D44,ProductPrices,2,FALSE)</f>
        <v>35.5</v>
      </c>
      <c r="G44" s="11">
        <f>E44*F44</f>
        <v>1065</v>
      </c>
      <c r="H44" s="9" t="str">
        <f>TEXT(A44,"yyyy-mm")</f>
        <v>2025-12</v>
      </c>
    </row>
    <row r="45" spans="1:8" x14ac:dyDescent="0.2">
      <c r="A45" s="4">
        <v>46007</v>
      </c>
      <c r="B45" s="5" t="s">
        <v>9</v>
      </c>
      <c r="C45" s="5" t="s">
        <v>15</v>
      </c>
      <c r="D45" s="5" t="s">
        <v>6</v>
      </c>
      <c r="E45" s="6">
        <v>11</v>
      </c>
      <c r="F45" s="7">
        <f>VLOOKUP(D45,ProductPrices,2,FALSE)</f>
        <v>19.989999999999998</v>
      </c>
      <c r="G45" s="7">
        <f>E45*F45</f>
        <v>219.89</v>
      </c>
      <c r="H45" s="5" t="str">
        <f>TEXT(A45,"yyyy-mm")</f>
        <v>2025-12</v>
      </c>
    </row>
    <row r="46" spans="1:8" x14ac:dyDescent="0.2">
      <c r="A46" s="8">
        <v>46006</v>
      </c>
      <c r="B46" s="9" t="s">
        <v>5</v>
      </c>
      <c r="C46" s="9" t="s">
        <v>19</v>
      </c>
      <c r="D46" s="9" t="s">
        <v>10</v>
      </c>
      <c r="E46" s="10">
        <v>65</v>
      </c>
      <c r="F46" s="11">
        <f>VLOOKUP(D46,ProductPrices,2,FALSE)</f>
        <v>35.5</v>
      </c>
      <c r="G46" s="11">
        <f>E46*F46</f>
        <v>2307.5</v>
      </c>
      <c r="H46" s="9" t="str">
        <f>TEXT(A46,"yyyy-mm")</f>
        <v>2025-12</v>
      </c>
    </row>
    <row r="47" spans="1:8" x14ac:dyDescent="0.2">
      <c r="A47" s="4">
        <v>46005</v>
      </c>
      <c r="B47" s="5" t="s">
        <v>5</v>
      </c>
      <c r="C47" s="5" t="s">
        <v>19</v>
      </c>
      <c r="D47" s="5" t="s">
        <v>6</v>
      </c>
      <c r="E47" s="6">
        <v>63</v>
      </c>
      <c r="F47" s="7">
        <f>VLOOKUP(D47,ProductPrices,2,FALSE)</f>
        <v>19.989999999999998</v>
      </c>
      <c r="G47" s="7">
        <f>E47*F47</f>
        <v>1259.3699999999999</v>
      </c>
      <c r="H47" s="5" t="str">
        <f>TEXT(A47,"yyyy-mm")</f>
        <v>2025-12</v>
      </c>
    </row>
    <row r="48" spans="1:8" x14ac:dyDescent="0.2">
      <c r="A48" s="8">
        <v>46004</v>
      </c>
      <c r="B48" s="9" t="s">
        <v>5</v>
      </c>
      <c r="C48" s="9" t="s">
        <v>15</v>
      </c>
      <c r="D48" s="9" t="s">
        <v>18</v>
      </c>
      <c r="E48" s="10">
        <v>60</v>
      </c>
      <c r="F48" s="11">
        <f>VLOOKUP(D48,ProductPrices,2,FALSE)</f>
        <v>99</v>
      </c>
      <c r="G48" s="11">
        <f>E48*F48</f>
        <v>5940</v>
      </c>
      <c r="H48" s="9" t="str">
        <f>TEXT(A48,"yyyy-mm")</f>
        <v>2025-12</v>
      </c>
    </row>
    <row r="49" spans="1:8" x14ac:dyDescent="0.2">
      <c r="A49" s="4">
        <v>46003</v>
      </c>
      <c r="B49" s="5" t="s">
        <v>5</v>
      </c>
      <c r="C49" s="5" t="s">
        <v>15</v>
      </c>
      <c r="D49" s="5" t="s">
        <v>6</v>
      </c>
      <c r="E49" s="6">
        <v>1</v>
      </c>
      <c r="F49" s="7">
        <f>VLOOKUP(D49,ProductPrices,2,FALSE)</f>
        <v>19.989999999999998</v>
      </c>
      <c r="G49" s="7">
        <f>E49*F49</f>
        <v>19.989999999999998</v>
      </c>
      <c r="H49" s="5" t="str">
        <f>TEXT(A49,"yyyy-mm")</f>
        <v>2025-12</v>
      </c>
    </row>
    <row r="50" spans="1:8" x14ac:dyDescent="0.2">
      <c r="A50" s="8">
        <v>46002</v>
      </c>
      <c r="B50" s="9" t="s">
        <v>17</v>
      </c>
      <c r="C50" s="9" t="s">
        <v>7</v>
      </c>
      <c r="D50" s="9" t="s">
        <v>10</v>
      </c>
      <c r="E50" s="10">
        <v>9</v>
      </c>
      <c r="F50" s="11">
        <f>VLOOKUP(D50,ProductPrices,2,FALSE)</f>
        <v>35.5</v>
      </c>
      <c r="G50" s="11">
        <f>E50*F50</f>
        <v>319.5</v>
      </c>
      <c r="H50" s="9" t="str">
        <f>TEXT(A50,"yyyy-mm")</f>
        <v>2025-12</v>
      </c>
    </row>
    <row r="51" spans="1:8" x14ac:dyDescent="0.2">
      <c r="A51" s="4">
        <v>46001</v>
      </c>
      <c r="B51" s="5" t="s">
        <v>17</v>
      </c>
      <c r="C51" s="5" t="s">
        <v>11</v>
      </c>
      <c r="D51" s="5" t="s">
        <v>10</v>
      </c>
      <c r="E51" s="6">
        <v>23</v>
      </c>
      <c r="F51" s="7">
        <f>VLOOKUP(D51,ProductPrices,2,FALSE)</f>
        <v>35.5</v>
      </c>
      <c r="G51" s="7">
        <f>E51*F51</f>
        <v>816.5</v>
      </c>
      <c r="H51" s="5" t="str">
        <f>TEXT(A51,"yyyy-mm")</f>
        <v>2025-12</v>
      </c>
    </row>
    <row r="52" spans="1:8" x14ac:dyDescent="0.2">
      <c r="A52" s="8">
        <v>46000</v>
      </c>
      <c r="B52" s="9" t="s">
        <v>5</v>
      </c>
      <c r="C52" s="9" t="s">
        <v>15</v>
      </c>
      <c r="D52" s="9" t="s">
        <v>6</v>
      </c>
      <c r="E52" s="10">
        <v>27</v>
      </c>
      <c r="F52" s="11">
        <f>VLOOKUP(D52,ProductPrices,2,FALSE)</f>
        <v>19.989999999999998</v>
      </c>
      <c r="G52" s="11">
        <f>E52*F52</f>
        <v>539.7299999999999</v>
      </c>
      <c r="H52" s="9" t="str">
        <f>TEXT(A52,"yyyy-mm")</f>
        <v>2025-12</v>
      </c>
    </row>
    <row r="53" spans="1:8" x14ac:dyDescent="0.2">
      <c r="A53" s="4">
        <v>45999</v>
      </c>
      <c r="B53" s="5" t="s">
        <v>9</v>
      </c>
      <c r="C53" s="5" t="s">
        <v>7</v>
      </c>
      <c r="D53" s="5" t="s">
        <v>18</v>
      </c>
      <c r="E53" s="6">
        <v>54</v>
      </c>
      <c r="F53" s="7">
        <f>VLOOKUP(D53,ProductPrices,2,FALSE)</f>
        <v>99</v>
      </c>
      <c r="G53" s="7">
        <f>E53*F53</f>
        <v>5346</v>
      </c>
      <c r="H53" s="5" t="str">
        <f>TEXT(A53,"yyyy-mm")</f>
        <v>2025-12</v>
      </c>
    </row>
    <row r="54" spans="1:8" x14ac:dyDescent="0.2">
      <c r="A54" s="8">
        <v>45998</v>
      </c>
      <c r="B54" s="9" t="s">
        <v>13</v>
      </c>
      <c r="C54" s="9" t="s">
        <v>19</v>
      </c>
      <c r="D54" s="9" t="s">
        <v>14</v>
      </c>
      <c r="E54" s="10">
        <v>50</v>
      </c>
      <c r="F54" s="11">
        <f>VLOOKUP(D54,ProductPrices,2,FALSE)</f>
        <v>12.75</v>
      </c>
      <c r="G54" s="11">
        <f>E54*F54</f>
        <v>637.5</v>
      </c>
      <c r="H54" s="9" t="str">
        <f>TEXT(A54,"yyyy-mm")</f>
        <v>2025-12</v>
      </c>
    </row>
    <row r="55" spans="1:8" x14ac:dyDescent="0.2">
      <c r="A55" s="4">
        <v>45997</v>
      </c>
      <c r="B55" s="5" t="s">
        <v>9</v>
      </c>
      <c r="C55" s="5" t="s">
        <v>15</v>
      </c>
      <c r="D55" s="5" t="s">
        <v>10</v>
      </c>
      <c r="E55" s="6">
        <v>2</v>
      </c>
      <c r="F55" s="7">
        <f>VLOOKUP(D55,ProductPrices,2,FALSE)</f>
        <v>35.5</v>
      </c>
      <c r="G55" s="7">
        <f>E55*F55</f>
        <v>71</v>
      </c>
      <c r="H55" s="5" t="str">
        <f>TEXT(A55,"yyyy-mm")</f>
        <v>2025-12</v>
      </c>
    </row>
    <row r="56" spans="1:8" x14ac:dyDescent="0.2">
      <c r="A56" s="8">
        <v>45996</v>
      </c>
      <c r="B56" s="9" t="s">
        <v>17</v>
      </c>
      <c r="C56" s="9" t="s">
        <v>11</v>
      </c>
      <c r="D56" s="9" t="s">
        <v>6</v>
      </c>
      <c r="E56" s="10">
        <v>44</v>
      </c>
      <c r="F56" s="11">
        <f>VLOOKUP(D56,ProductPrices,2,FALSE)</f>
        <v>19.989999999999998</v>
      </c>
      <c r="G56" s="11">
        <f>E56*F56</f>
        <v>879.56</v>
      </c>
      <c r="H56" s="9" t="str">
        <f>TEXT(A56,"yyyy-mm")</f>
        <v>2025-12</v>
      </c>
    </row>
    <row r="57" spans="1:8" x14ac:dyDescent="0.2">
      <c r="A57" s="4">
        <v>45995</v>
      </c>
      <c r="B57" s="5" t="s">
        <v>5</v>
      </c>
      <c r="C57" s="5" t="s">
        <v>19</v>
      </c>
      <c r="D57" s="5" t="s">
        <v>10</v>
      </c>
      <c r="E57" s="6">
        <v>22</v>
      </c>
      <c r="F57" s="7">
        <f>VLOOKUP(D57,ProductPrices,2,FALSE)</f>
        <v>35.5</v>
      </c>
      <c r="G57" s="7">
        <f>E57*F57</f>
        <v>781</v>
      </c>
      <c r="H57" s="5" t="str">
        <f>TEXT(A57,"yyyy-mm")</f>
        <v>2025-12</v>
      </c>
    </row>
    <row r="58" spans="1:8" x14ac:dyDescent="0.2">
      <c r="A58" s="8">
        <v>45994</v>
      </c>
      <c r="B58" s="9" t="s">
        <v>9</v>
      </c>
      <c r="C58" s="9" t="s">
        <v>11</v>
      </c>
      <c r="D58" s="9" t="s">
        <v>18</v>
      </c>
      <c r="E58" s="10">
        <v>71</v>
      </c>
      <c r="F58" s="11">
        <f>VLOOKUP(D58,ProductPrices,2,FALSE)</f>
        <v>99</v>
      </c>
      <c r="G58" s="11">
        <f>E58*F58</f>
        <v>7029</v>
      </c>
      <c r="H58" s="9" t="str">
        <f>TEXT(A58,"yyyy-mm")</f>
        <v>2025-12</v>
      </c>
    </row>
    <row r="59" spans="1:8" x14ac:dyDescent="0.2">
      <c r="A59" s="4">
        <v>45993</v>
      </c>
      <c r="B59" s="5" t="s">
        <v>17</v>
      </c>
      <c r="C59" s="5" t="s">
        <v>15</v>
      </c>
      <c r="D59" s="5" t="s">
        <v>18</v>
      </c>
      <c r="E59" s="6">
        <v>50</v>
      </c>
      <c r="F59" s="7">
        <f>VLOOKUP(D59,ProductPrices,2,FALSE)</f>
        <v>99</v>
      </c>
      <c r="G59" s="7">
        <f>E59*F59</f>
        <v>4950</v>
      </c>
      <c r="H59" s="5" t="str">
        <f>TEXT(A59,"yyyy-mm")</f>
        <v>2025-12</v>
      </c>
    </row>
    <row r="60" spans="1:8" x14ac:dyDescent="0.2">
      <c r="A60" s="8">
        <v>45992</v>
      </c>
      <c r="B60" s="9" t="s">
        <v>9</v>
      </c>
      <c r="C60" s="9" t="s">
        <v>7</v>
      </c>
      <c r="D60" s="9" t="s">
        <v>18</v>
      </c>
      <c r="E60" s="10">
        <v>66</v>
      </c>
      <c r="F60" s="11">
        <f>VLOOKUP(D60,ProductPrices,2,FALSE)</f>
        <v>99</v>
      </c>
      <c r="G60" s="11">
        <f>E60*F60</f>
        <v>6534</v>
      </c>
      <c r="H60" s="9" t="str">
        <f>TEXT(A60,"yyyy-mm")</f>
        <v>2025-12</v>
      </c>
    </row>
    <row r="61" spans="1:8" x14ac:dyDescent="0.2">
      <c r="A61" s="4">
        <v>45991</v>
      </c>
      <c r="B61" s="5" t="s">
        <v>5</v>
      </c>
      <c r="C61" s="5" t="s">
        <v>11</v>
      </c>
      <c r="D61" s="5" t="s">
        <v>14</v>
      </c>
      <c r="E61" s="6">
        <v>28</v>
      </c>
      <c r="F61" s="7">
        <f>VLOOKUP(D61,ProductPrices,2,FALSE)</f>
        <v>12.75</v>
      </c>
      <c r="G61" s="7">
        <f>E61*F61</f>
        <v>357</v>
      </c>
      <c r="H61" s="5" t="str">
        <f>TEXT(A61,"yyyy-mm")</f>
        <v>2025-11</v>
      </c>
    </row>
    <row r="62" spans="1:8" x14ac:dyDescent="0.2">
      <c r="A62" s="8">
        <v>45990</v>
      </c>
      <c r="B62" s="9" t="s">
        <v>17</v>
      </c>
      <c r="C62" s="9" t="s">
        <v>19</v>
      </c>
      <c r="D62" s="9" t="s">
        <v>10</v>
      </c>
      <c r="E62" s="10">
        <v>1</v>
      </c>
      <c r="F62" s="11">
        <f>VLOOKUP(D62,ProductPrices,2,FALSE)</f>
        <v>35.5</v>
      </c>
      <c r="G62" s="11">
        <f>E62*F62</f>
        <v>35.5</v>
      </c>
      <c r="H62" s="9" t="str">
        <f>TEXT(A62,"yyyy-mm")</f>
        <v>2025-11</v>
      </c>
    </row>
    <row r="63" spans="1:8" x14ac:dyDescent="0.2">
      <c r="A63" s="4">
        <v>45989</v>
      </c>
      <c r="B63" s="5" t="s">
        <v>5</v>
      </c>
      <c r="C63" s="5" t="s">
        <v>11</v>
      </c>
      <c r="D63" s="5" t="s">
        <v>18</v>
      </c>
      <c r="E63" s="6">
        <v>75</v>
      </c>
      <c r="F63" s="7">
        <f>VLOOKUP(D63,ProductPrices,2,FALSE)</f>
        <v>99</v>
      </c>
      <c r="G63" s="7">
        <f>E63*F63</f>
        <v>7425</v>
      </c>
      <c r="H63" s="5" t="str">
        <f>TEXT(A63,"yyyy-mm")</f>
        <v>2025-11</v>
      </c>
    </row>
    <row r="64" spans="1:8" x14ac:dyDescent="0.2">
      <c r="A64" s="8">
        <v>45988</v>
      </c>
      <c r="B64" s="9" t="s">
        <v>5</v>
      </c>
      <c r="C64" s="9" t="s">
        <v>15</v>
      </c>
      <c r="D64" s="9" t="s">
        <v>14</v>
      </c>
      <c r="E64" s="10">
        <v>11</v>
      </c>
      <c r="F64" s="11">
        <f>VLOOKUP(D64,ProductPrices,2,FALSE)</f>
        <v>12.75</v>
      </c>
      <c r="G64" s="11">
        <f>E64*F64</f>
        <v>140.25</v>
      </c>
      <c r="H64" s="9" t="str">
        <f>TEXT(A64,"yyyy-mm")</f>
        <v>2025-11</v>
      </c>
    </row>
    <row r="65" spans="1:8" x14ac:dyDescent="0.2">
      <c r="A65" s="4">
        <v>45987</v>
      </c>
      <c r="B65" s="5" t="s">
        <v>13</v>
      </c>
      <c r="C65" s="5" t="s">
        <v>19</v>
      </c>
      <c r="D65" s="5" t="s">
        <v>14</v>
      </c>
      <c r="E65" s="6">
        <v>24</v>
      </c>
      <c r="F65" s="7">
        <f>VLOOKUP(D65,ProductPrices,2,FALSE)</f>
        <v>12.75</v>
      </c>
      <c r="G65" s="7">
        <f>E65*F65</f>
        <v>306</v>
      </c>
      <c r="H65" s="5" t="str">
        <f>TEXT(A65,"yyyy-mm")</f>
        <v>2025-11</v>
      </c>
    </row>
    <row r="66" spans="1:8" x14ac:dyDescent="0.2">
      <c r="A66" s="8">
        <v>45986</v>
      </c>
      <c r="B66" s="9" t="s">
        <v>17</v>
      </c>
      <c r="C66" s="9" t="s">
        <v>11</v>
      </c>
      <c r="D66" s="9" t="s">
        <v>14</v>
      </c>
      <c r="E66" s="10">
        <v>13</v>
      </c>
      <c r="F66" s="11">
        <f>VLOOKUP(D66,ProductPrices,2,FALSE)</f>
        <v>12.75</v>
      </c>
      <c r="G66" s="11">
        <f>E66*F66</f>
        <v>165.75</v>
      </c>
      <c r="H66" s="9" t="str">
        <f>TEXT(A66,"yyyy-mm")</f>
        <v>2025-11</v>
      </c>
    </row>
    <row r="67" spans="1:8" x14ac:dyDescent="0.2">
      <c r="A67" s="4">
        <v>45985</v>
      </c>
      <c r="B67" s="5" t="s">
        <v>13</v>
      </c>
      <c r="C67" s="5" t="s">
        <v>11</v>
      </c>
      <c r="D67" s="5" t="s">
        <v>6</v>
      </c>
      <c r="E67" s="6">
        <v>66</v>
      </c>
      <c r="F67" s="7">
        <f>VLOOKUP(D67,ProductPrices,2,FALSE)</f>
        <v>19.989999999999998</v>
      </c>
      <c r="G67" s="7">
        <f>E67*F67</f>
        <v>1319.34</v>
      </c>
      <c r="H67" s="5" t="str">
        <f>TEXT(A67,"yyyy-mm")</f>
        <v>2025-11</v>
      </c>
    </row>
    <row r="68" spans="1:8" x14ac:dyDescent="0.2">
      <c r="A68" s="8">
        <v>45984</v>
      </c>
      <c r="B68" s="9" t="s">
        <v>5</v>
      </c>
      <c r="C68" s="9" t="s">
        <v>11</v>
      </c>
      <c r="D68" s="9" t="s">
        <v>18</v>
      </c>
      <c r="E68" s="10">
        <v>5</v>
      </c>
      <c r="F68" s="11">
        <f>VLOOKUP(D68,ProductPrices,2,FALSE)</f>
        <v>99</v>
      </c>
      <c r="G68" s="11">
        <f>E68*F68</f>
        <v>495</v>
      </c>
      <c r="H68" s="9" t="str">
        <f>TEXT(A68,"yyyy-mm")</f>
        <v>2025-11</v>
      </c>
    </row>
    <row r="69" spans="1:8" x14ac:dyDescent="0.2">
      <c r="A69" s="4">
        <v>45983</v>
      </c>
      <c r="B69" s="5" t="s">
        <v>17</v>
      </c>
      <c r="C69" s="5" t="s">
        <v>11</v>
      </c>
      <c r="D69" s="5" t="s">
        <v>14</v>
      </c>
      <c r="E69" s="6">
        <v>49</v>
      </c>
      <c r="F69" s="7">
        <f>VLOOKUP(D69,ProductPrices,2,FALSE)</f>
        <v>12.75</v>
      </c>
      <c r="G69" s="7">
        <f>E69*F69</f>
        <v>624.75</v>
      </c>
      <c r="H69" s="5" t="str">
        <f>TEXT(A69,"yyyy-mm")</f>
        <v>2025-11</v>
      </c>
    </row>
    <row r="70" spans="1:8" x14ac:dyDescent="0.2">
      <c r="A70" s="8">
        <v>45982</v>
      </c>
      <c r="B70" s="9" t="s">
        <v>9</v>
      </c>
      <c r="C70" s="9" t="s">
        <v>7</v>
      </c>
      <c r="D70" s="9" t="s">
        <v>6</v>
      </c>
      <c r="E70" s="10">
        <v>7</v>
      </c>
      <c r="F70" s="11">
        <f>VLOOKUP(D70,ProductPrices,2,FALSE)</f>
        <v>19.989999999999998</v>
      </c>
      <c r="G70" s="11">
        <f>E70*F70</f>
        <v>139.92999999999998</v>
      </c>
      <c r="H70" s="9" t="str">
        <f>TEXT(A70,"yyyy-mm")</f>
        <v>2025-11</v>
      </c>
    </row>
    <row r="71" spans="1:8" x14ac:dyDescent="0.2">
      <c r="A71" s="4">
        <v>45981</v>
      </c>
      <c r="B71" s="5" t="s">
        <v>5</v>
      </c>
      <c r="C71" s="5" t="s">
        <v>11</v>
      </c>
      <c r="D71" s="5" t="s">
        <v>18</v>
      </c>
      <c r="E71" s="6">
        <v>26</v>
      </c>
      <c r="F71" s="7">
        <f>VLOOKUP(D71,ProductPrices,2,FALSE)</f>
        <v>99</v>
      </c>
      <c r="G71" s="7">
        <f>E71*F71</f>
        <v>2574</v>
      </c>
      <c r="H71" s="5" t="str">
        <f>TEXT(A71,"yyyy-mm")</f>
        <v>2025-11</v>
      </c>
    </row>
    <row r="72" spans="1:8" x14ac:dyDescent="0.2">
      <c r="A72" s="8">
        <v>45980</v>
      </c>
      <c r="B72" s="9" t="s">
        <v>5</v>
      </c>
      <c r="C72" s="9" t="s">
        <v>7</v>
      </c>
      <c r="D72" s="9" t="s">
        <v>14</v>
      </c>
      <c r="E72" s="10">
        <v>12</v>
      </c>
      <c r="F72" s="11">
        <f>VLOOKUP(D72,ProductPrices,2,FALSE)</f>
        <v>12.75</v>
      </c>
      <c r="G72" s="11">
        <f>E72*F72</f>
        <v>153</v>
      </c>
      <c r="H72" s="9" t="str">
        <f>TEXT(A72,"yyyy-mm")</f>
        <v>2025-11</v>
      </c>
    </row>
    <row r="73" spans="1:8" x14ac:dyDescent="0.2">
      <c r="A73" s="4">
        <v>45979</v>
      </c>
      <c r="B73" s="5" t="s">
        <v>9</v>
      </c>
      <c r="C73" s="5" t="s">
        <v>11</v>
      </c>
      <c r="D73" s="5" t="s">
        <v>18</v>
      </c>
      <c r="E73" s="6">
        <v>51</v>
      </c>
      <c r="F73" s="7">
        <f>VLOOKUP(D73,ProductPrices,2,FALSE)</f>
        <v>99</v>
      </c>
      <c r="G73" s="7">
        <f>E73*F73</f>
        <v>5049</v>
      </c>
      <c r="H73" s="5" t="str">
        <f>TEXT(A73,"yyyy-mm")</f>
        <v>2025-11</v>
      </c>
    </row>
    <row r="74" spans="1:8" x14ac:dyDescent="0.2">
      <c r="A74" s="8">
        <v>45978</v>
      </c>
      <c r="B74" s="9" t="s">
        <v>9</v>
      </c>
      <c r="C74" s="9" t="s">
        <v>15</v>
      </c>
      <c r="D74" s="9" t="s">
        <v>6</v>
      </c>
      <c r="E74" s="10">
        <v>64</v>
      </c>
      <c r="F74" s="11">
        <f>VLOOKUP(D74,ProductPrices,2,FALSE)</f>
        <v>19.989999999999998</v>
      </c>
      <c r="G74" s="11">
        <f>E74*F74</f>
        <v>1279.3599999999999</v>
      </c>
      <c r="H74" s="9" t="str">
        <f>TEXT(A74,"yyyy-mm")</f>
        <v>2025-11</v>
      </c>
    </row>
    <row r="75" spans="1:8" x14ac:dyDescent="0.2">
      <c r="A75" s="4">
        <v>45977</v>
      </c>
      <c r="B75" s="5" t="s">
        <v>13</v>
      </c>
      <c r="C75" s="5" t="s">
        <v>7</v>
      </c>
      <c r="D75" s="5" t="s">
        <v>6</v>
      </c>
      <c r="E75" s="6">
        <v>19</v>
      </c>
      <c r="F75" s="7">
        <f>VLOOKUP(D75,ProductPrices,2,FALSE)</f>
        <v>19.989999999999998</v>
      </c>
      <c r="G75" s="7">
        <f>E75*F75</f>
        <v>379.80999999999995</v>
      </c>
      <c r="H75" s="5" t="str">
        <f>TEXT(A75,"yyyy-mm")</f>
        <v>2025-11</v>
      </c>
    </row>
    <row r="76" spans="1:8" x14ac:dyDescent="0.2">
      <c r="A76" s="8">
        <v>45976</v>
      </c>
      <c r="B76" s="9" t="s">
        <v>13</v>
      </c>
      <c r="C76" s="9" t="s">
        <v>11</v>
      </c>
      <c r="D76" s="9" t="s">
        <v>10</v>
      </c>
      <c r="E76" s="10">
        <v>9</v>
      </c>
      <c r="F76" s="11">
        <f>VLOOKUP(D76,ProductPrices,2,FALSE)</f>
        <v>35.5</v>
      </c>
      <c r="G76" s="11">
        <f>E76*F76</f>
        <v>319.5</v>
      </c>
      <c r="H76" s="9" t="str">
        <f>TEXT(A76,"yyyy-mm")</f>
        <v>2025-11</v>
      </c>
    </row>
    <row r="77" spans="1:8" x14ac:dyDescent="0.2">
      <c r="A77" s="4">
        <v>45975</v>
      </c>
      <c r="B77" s="5" t="s">
        <v>9</v>
      </c>
      <c r="C77" s="5" t="s">
        <v>11</v>
      </c>
      <c r="D77" s="5" t="s">
        <v>10</v>
      </c>
      <c r="E77" s="6">
        <v>36</v>
      </c>
      <c r="F77" s="7">
        <f>VLOOKUP(D77,ProductPrices,2,FALSE)</f>
        <v>35.5</v>
      </c>
      <c r="G77" s="7">
        <f>E77*F77</f>
        <v>1278</v>
      </c>
      <c r="H77" s="5" t="str">
        <f>TEXT(A77,"yyyy-mm")</f>
        <v>2025-11</v>
      </c>
    </row>
    <row r="78" spans="1:8" x14ac:dyDescent="0.2">
      <c r="A78" s="8">
        <v>45974</v>
      </c>
      <c r="B78" s="9" t="s">
        <v>5</v>
      </c>
      <c r="C78" s="9" t="s">
        <v>19</v>
      </c>
      <c r="D78" s="9" t="s">
        <v>18</v>
      </c>
      <c r="E78" s="10">
        <v>23</v>
      </c>
      <c r="F78" s="11">
        <f>VLOOKUP(D78,ProductPrices,2,FALSE)</f>
        <v>99</v>
      </c>
      <c r="G78" s="11">
        <f>E78*F78</f>
        <v>2277</v>
      </c>
      <c r="H78" s="9" t="str">
        <f>TEXT(A78,"yyyy-mm")</f>
        <v>2025-11</v>
      </c>
    </row>
    <row r="79" spans="1:8" x14ac:dyDescent="0.2">
      <c r="A79" s="4">
        <v>45973</v>
      </c>
      <c r="B79" s="5" t="s">
        <v>5</v>
      </c>
      <c r="C79" s="5" t="s">
        <v>11</v>
      </c>
      <c r="D79" s="5" t="s">
        <v>10</v>
      </c>
      <c r="E79" s="6">
        <v>11</v>
      </c>
      <c r="F79" s="7">
        <f>VLOOKUP(D79,ProductPrices,2,FALSE)</f>
        <v>35.5</v>
      </c>
      <c r="G79" s="7">
        <f>E79*F79</f>
        <v>390.5</v>
      </c>
      <c r="H79" s="5" t="str">
        <f>TEXT(A79,"yyyy-mm")</f>
        <v>2025-11</v>
      </c>
    </row>
    <row r="80" spans="1:8" x14ac:dyDescent="0.2">
      <c r="A80" s="8">
        <v>45972</v>
      </c>
      <c r="B80" s="9" t="s">
        <v>5</v>
      </c>
      <c r="C80" s="9" t="s">
        <v>19</v>
      </c>
      <c r="D80" s="9" t="s">
        <v>6</v>
      </c>
      <c r="E80" s="10">
        <v>64</v>
      </c>
      <c r="F80" s="11">
        <f>VLOOKUP(D80,ProductPrices,2,FALSE)</f>
        <v>19.989999999999998</v>
      </c>
      <c r="G80" s="11">
        <f>E80*F80</f>
        <v>1279.3599999999999</v>
      </c>
      <c r="H80" s="9" t="str">
        <f>TEXT(A80,"yyyy-mm")</f>
        <v>2025-11</v>
      </c>
    </row>
    <row r="81" spans="1:8" x14ac:dyDescent="0.2">
      <c r="A81" s="4">
        <v>45971</v>
      </c>
      <c r="B81" s="5" t="s">
        <v>13</v>
      </c>
      <c r="C81" s="5" t="s">
        <v>7</v>
      </c>
      <c r="D81" s="5" t="s">
        <v>14</v>
      </c>
      <c r="E81" s="6">
        <v>51</v>
      </c>
      <c r="F81" s="7">
        <f>VLOOKUP(D81,ProductPrices,2,FALSE)</f>
        <v>12.75</v>
      </c>
      <c r="G81" s="7">
        <f>E81*F81</f>
        <v>650.25</v>
      </c>
      <c r="H81" s="5" t="str">
        <f>TEXT(A81,"yyyy-mm")</f>
        <v>2025-11</v>
      </c>
    </row>
    <row r="82" spans="1:8" x14ac:dyDescent="0.2">
      <c r="A82" s="8">
        <v>45970</v>
      </c>
      <c r="B82" s="9" t="s">
        <v>9</v>
      </c>
      <c r="C82" s="9" t="s">
        <v>11</v>
      </c>
      <c r="D82" s="9" t="s">
        <v>6</v>
      </c>
      <c r="E82" s="10">
        <v>18</v>
      </c>
      <c r="F82" s="11">
        <f>VLOOKUP(D82,ProductPrices,2,FALSE)</f>
        <v>19.989999999999998</v>
      </c>
      <c r="G82" s="11">
        <f>E82*F82</f>
        <v>359.82</v>
      </c>
      <c r="H82" s="9" t="str">
        <f>TEXT(A82,"yyyy-mm")</f>
        <v>2025-11</v>
      </c>
    </row>
    <row r="83" spans="1:8" x14ac:dyDescent="0.2">
      <c r="A83" s="4">
        <v>45969</v>
      </c>
      <c r="B83" s="5" t="s">
        <v>13</v>
      </c>
      <c r="C83" s="5" t="s">
        <v>7</v>
      </c>
      <c r="D83" s="5" t="s">
        <v>10</v>
      </c>
      <c r="E83" s="6">
        <v>54</v>
      </c>
      <c r="F83" s="7">
        <f>VLOOKUP(D83,ProductPrices,2,FALSE)</f>
        <v>35.5</v>
      </c>
      <c r="G83" s="7">
        <f>E83*F83</f>
        <v>1917</v>
      </c>
      <c r="H83" s="5" t="str">
        <f>TEXT(A83,"yyyy-mm")</f>
        <v>2025-11</v>
      </c>
    </row>
    <row r="84" spans="1:8" x14ac:dyDescent="0.2">
      <c r="A84" s="8">
        <v>45968</v>
      </c>
      <c r="B84" s="9" t="s">
        <v>13</v>
      </c>
      <c r="C84" s="9" t="s">
        <v>11</v>
      </c>
      <c r="D84" s="9" t="s">
        <v>6</v>
      </c>
      <c r="E84" s="10">
        <v>75</v>
      </c>
      <c r="F84" s="11">
        <f>VLOOKUP(D84,ProductPrices,2,FALSE)</f>
        <v>19.989999999999998</v>
      </c>
      <c r="G84" s="11">
        <f>E84*F84</f>
        <v>1499.2499999999998</v>
      </c>
      <c r="H84" s="9" t="str">
        <f>TEXT(A84,"yyyy-mm")</f>
        <v>2025-11</v>
      </c>
    </row>
    <row r="85" spans="1:8" x14ac:dyDescent="0.2">
      <c r="A85" s="4">
        <v>45967</v>
      </c>
      <c r="B85" s="5" t="s">
        <v>5</v>
      </c>
      <c r="C85" s="5" t="s">
        <v>15</v>
      </c>
      <c r="D85" s="5" t="s">
        <v>14</v>
      </c>
      <c r="E85" s="6">
        <v>11</v>
      </c>
      <c r="F85" s="7">
        <f>VLOOKUP(D85,ProductPrices,2,FALSE)</f>
        <v>12.75</v>
      </c>
      <c r="G85" s="7">
        <f>E85*F85</f>
        <v>140.25</v>
      </c>
      <c r="H85" s="5" t="str">
        <f>TEXT(A85,"yyyy-mm")</f>
        <v>2025-11</v>
      </c>
    </row>
    <row r="86" spans="1:8" x14ac:dyDescent="0.2">
      <c r="A86" s="8">
        <v>45966</v>
      </c>
      <c r="B86" s="9" t="s">
        <v>13</v>
      </c>
      <c r="C86" s="9" t="s">
        <v>11</v>
      </c>
      <c r="D86" s="9" t="s">
        <v>18</v>
      </c>
      <c r="E86" s="10">
        <v>53</v>
      </c>
      <c r="F86" s="11">
        <f>VLOOKUP(D86,ProductPrices,2,FALSE)</f>
        <v>99</v>
      </c>
      <c r="G86" s="11">
        <f>E86*F86</f>
        <v>5247</v>
      </c>
      <c r="H86" s="9" t="str">
        <f>TEXT(A86,"yyyy-mm")</f>
        <v>2025-11</v>
      </c>
    </row>
    <row r="87" spans="1:8" x14ac:dyDescent="0.2">
      <c r="A87" s="4">
        <v>45965</v>
      </c>
      <c r="B87" s="5" t="s">
        <v>5</v>
      </c>
      <c r="C87" s="5" t="s">
        <v>19</v>
      </c>
      <c r="D87" s="5" t="s">
        <v>10</v>
      </c>
      <c r="E87" s="6">
        <v>47</v>
      </c>
      <c r="F87" s="7">
        <f>VLOOKUP(D87,ProductPrices,2,FALSE)</f>
        <v>35.5</v>
      </c>
      <c r="G87" s="7">
        <f>E87*F87</f>
        <v>1668.5</v>
      </c>
      <c r="H87" s="5" t="str">
        <f>TEXT(A87,"yyyy-mm")</f>
        <v>2025-11</v>
      </c>
    </row>
    <row r="88" spans="1:8" x14ac:dyDescent="0.2">
      <c r="A88" s="8">
        <v>45964</v>
      </c>
      <c r="B88" s="9" t="s">
        <v>17</v>
      </c>
      <c r="C88" s="9" t="s">
        <v>7</v>
      </c>
      <c r="D88" s="9" t="s">
        <v>18</v>
      </c>
      <c r="E88" s="10">
        <v>38</v>
      </c>
      <c r="F88" s="11">
        <f>VLOOKUP(D88,ProductPrices,2,FALSE)</f>
        <v>99</v>
      </c>
      <c r="G88" s="11">
        <f>E88*F88</f>
        <v>3762</v>
      </c>
      <c r="H88" s="9" t="str">
        <f>TEXT(A88,"yyyy-mm")</f>
        <v>2025-11</v>
      </c>
    </row>
    <row r="89" spans="1:8" x14ac:dyDescent="0.2">
      <c r="A89" s="4">
        <v>45963</v>
      </c>
      <c r="B89" s="5" t="s">
        <v>9</v>
      </c>
      <c r="C89" s="5" t="s">
        <v>15</v>
      </c>
      <c r="D89" s="5" t="s">
        <v>10</v>
      </c>
      <c r="E89" s="6">
        <v>51</v>
      </c>
      <c r="F89" s="7">
        <f>VLOOKUP(D89,ProductPrices,2,FALSE)</f>
        <v>35.5</v>
      </c>
      <c r="G89" s="7">
        <f>E89*F89</f>
        <v>1810.5</v>
      </c>
      <c r="H89" s="5" t="str">
        <f>TEXT(A89,"yyyy-mm")</f>
        <v>2025-11</v>
      </c>
    </row>
    <row r="90" spans="1:8" x14ac:dyDescent="0.2">
      <c r="A90" s="8">
        <v>45962</v>
      </c>
      <c r="B90" s="9" t="s">
        <v>17</v>
      </c>
      <c r="C90" s="9" t="s">
        <v>7</v>
      </c>
      <c r="D90" s="9" t="s">
        <v>14</v>
      </c>
      <c r="E90" s="10">
        <v>17</v>
      </c>
      <c r="F90" s="11">
        <f>VLOOKUP(D90,ProductPrices,2,FALSE)</f>
        <v>12.75</v>
      </c>
      <c r="G90" s="11">
        <f>E90*F90</f>
        <v>216.75</v>
      </c>
      <c r="H90" s="9" t="str">
        <f>TEXT(A90,"yyyy-mm")</f>
        <v>2025-11</v>
      </c>
    </row>
    <row r="91" spans="1:8" x14ac:dyDescent="0.2">
      <c r="A91" s="4">
        <v>45961</v>
      </c>
      <c r="B91" s="5" t="s">
        <v>5</v>
      </c>
      <c r="C91" s="5" t="s">
        <v>19</v>
      </c>
      <c r="D91" s="5" t="s">
        <v>14</v>
      </c>
      <c r="E91" s="6">
        <v>28</v>
      </c>
      <c r="F91" s="7">
        <f>VLOOKUP(D91,ProductPrices,2,FALSE)</f>
        <v>12.75</v>
      </c>
      <c r="G91" s="7">
        <f>E91*F91</f>
        <v>357</v>
      </c>
      <c r="H91" s="5" t="str">
        <f>TEXT(A91,"yyyy-mm")</f>
        <v>2025-10</v>
      </c>
    </row>
    <row r="92" spans="1:8" x14ac:dyDescent="0.2">
      <c r="A92" s="8">
        <v>45960</v>
      </c>
      <c r="B92" s="9" t="s">
        <v>17</v>
      </c>
      <c r="C92" s="9" t="s">
        <v>19</v>
      </c>
      <c r="D92" s="9" t="s">
        <v>10</v>
      </c>
      <c r="E92" s="10">
        <v>21</v>
      </c>
      <c r="F92" s="11">
        <f>VLOOKUP(D92,ProductPrices,2,FALSE)</f>
        <v>35.5</v>
      </c>
      <c r="G92" s="11">
        <f>E92*F92</f>
        <v>745.5</v>
      </c>
      <c r="H92" s="9" t="str">
        <f>TEXT(A92,"yyyy-mm")</f>
        <v>2025-10</v>
      </c>
    </row>
    <row r="93" spans="1:8" x14ac:dyDescent="0.2">
      <c r="A93" s="4">
        <v>45959</v>
      </c>
      <c r="B93" s="5" t="s">
        <v>9</v>
      </c>
      <c r="C93" s="5" t="s">
        <v>11</v>
      </c>
      <c r="D93" s="5" t="s">
        <v>14</v>
      </c>
      <c r="E93" s="6">
        <v>37</v>
      </c>
      <c r="F93" s="7">
        <f>VLOOKUP(D93,ProductPrices,2,FALSE)</f>
        <v>12.75</v>
      </c>
      <c r="G93" s="7">
        <f>E93*F93</f>
        <v>471.75</v>
      </c>
      <c r="H93" s="5" t="str">
        <f>TEXT(A93,"yyyy-mm")</f>
        <v>2025-10</v>
      </c>
    </row>
    <row r="94" spans="1:8" x14ac:dyDescent="0.2">
      <c r="A94" s="8">
        <v>45958</v>
      </c>
      <c r="B94" s="9" t="s">
        <v>5</v>
      </c>
      <c r="C94" s="9" t="s">
        <v>7</v>
      </c>
      <c r="D94" s="9" t="s">
        <v>6</v>
      </c>
      <c r="E94" s="10">
        <v>9</v>
      </c>
      <c r="F94" s="11">
        <f>VLOOKUP(D94,ProductPrices,2,FALSE)</f>
        <v>19.989999999999998</v>
      </c>
      <c r="G94" s="11">
        <f>E94*F94</f>
        <v>179.91</v>
      </c>
      <c r="H94" s="9" t="str">
        <f>TEXT(A94,"yyyy-mm")</f>
        <v>2025-10</v>
      </c>
    </row>
    <row r="95" spans="1:8" x14ac:dyDescent="0.2">
      <c r="A95" s="4">
        <v>45957</v>
      </c>
      <c r="B95" s="5" t="s">
        <v>5</v>
      </c>
      <c r="C95" s="5" t="s">
        <v>7</v>
      </c>
      <c r="D95" s="5" t="s">
        <v>10</v>
      </c>
      <c r="E95" s="6">
        <v>53</v>
      </c>
      <c r="F95" s="7">
        <f>VLOOKUP(D95,ProductPrices,2,FALSE)</f>
        <v>35.5</v>
      </c>
      <c r="G95" s="7">
        <f>E95*F95</f>
        <v>1881.5</v>
      </c>
      <c r="H95" s="5" t="str">
        <f>TEXT(A95,"yyyy-mm")</f>
        <v>2025-10</v>
      </c>
    </row>
    <row r="96" spans="1:8" x14ac:dyDescent="0.2">
      <c r="A96" s="8">
        <v>45956</v>
      </c>
      <c r="B96" s="9" t="s">
        <v>9</v>
      </c>
      <c r="C96" s="9" t="s">
        <v>15</v>
      </c>
      <c r="D96" s="9" t="s">
        <v>6</v>
      </c>
      <c r="E96" s="10">
        <v>40</v>
      </c>
      <c r="F96" s="11">
        <f>VLOOKUP(D96,ProductPrices,2,FALSE)</f>
        <v>19.989999999999998</v>
      </c>
      <c r="G96" s="11">
        <f>E96*F96</f>
        <v>799.59999999999991</v>
      </c>
      <c r="H96" s="9" t="str">
        <f>TEXT(A96,"yyyy-mm")</f>
        <v>2025-10</v>
      </c>
    </row>
    <row r="97" spans="1:8" x14ac:dyDescent="0.2">
      <c r="A97" s="4">
        <v>45955</v>
      </c>
      <c r="B97" s="5" t="s">
        <v>5</v>
      </c>
      <c r="C97" s="5" t="s">
        <v>15</v>
      </c>
      <c r="D97" s="5" t="s">
        <v>10</v>
      </c>
      <c r="E97" s="6">
        <v>67</v>
      </c>
      <c r="F97" s="7">
        <f>VLOOKUP(D97,ProductPrices,2,FALSE)</f>
        <v>35.5</v>
      </c>
      <c r="G97" s="7">
        <f>E97*F97</f>
        <v>2378.5</v>
      </c>
      <c r="H97" s="5" t="str">
        <f>TEXT(A97,"yyyy-mm")</f>
        <v>2025-10</v>
      </c>
    </row>
    <row r="98" spans="1:8" x14ac:dyDescent="0.2">
      <c r="A98" s="8">
        <v>45954</v>
      </c>
      <c r="B98" s="9" t="s">
        <v>17</v>
      </c>
      <c r="C98" s="9" t="s">
        <v>19</v>
      </c>
      <c r="D98" s="9" t="s">
        <v>10</v>
      </c>
      <c r="E98" s="10">
        <v>8</v>
      </c>
      <c r="F98" s="11">
        <f>VLOOKUP(D98,ProductPrices,2,FALSE)</f>
        <v>35.5</v>
      </c>
      <c r="G98" s="11">
        <f>E98*F98</f>
        <v>284</v>
      </c>
      <c r="H98" s="9" t="str">
        <f>TEXT(A98,"yyyy-mm")</f>
        <v>2025-10</v>
      </c>
    </row>
    <row r="99" spans="1:8" x14ac:dyDescent="0.2">
      <c r="A99" s="4">
        <v>45953</v>
      </c>
      <c r="B99" s="5" t="s">
        <v>5</v>
      </c>
      <c r="C99" s="5" t="s">
        <v>15</v>
      </c>
      <c r="D99" s="5" t="s">
        <v>18</v>
      </c>
      <c r="E99" s="6">
        <v>75</v>
      </c>
      <c r="F99" s="7">
        <f>VLOOKUP(D99,ProductPrices,2,FALSE)</f>
        <v>99</v>
      </c>
      <c r="G99" s="7">
        <f>E99*F99</f>
        <v>7425</v>
      </c>
      <c r="H99" s="5" t="str">
        <f>TEXT(A99,"yyyy-mm")</f>
        <v>2025-10</v>
      </c>
    </row>
    <row r="100" spans="1:8" x14ac:dyDescent="0.2">
      <c r="A100" s="8">
        <v>45952</v>
      </c>
      <c r="B100" s="9" t="s">
        <v>17</v>
      </c>
      <c r="C100" s="9" t="s">
        <v>11</v>
      </c>
      <c r="D100" s="9" t="s">
        <v>6</v>
      </c>
      <c r="E100" s="10">
        <v>58</v>
      </c>
      <c r="F100" s="11">
        <f>VLOOKUP(D100,ProductPrices,2,FALSE)</f>
        <v>19.989999999999998</v>
      </c>
      <c r="G100" s="11">
        <f>E100*F100</f>
        <v>1159.4199999999998</v>
      </c>
      <c r="H100" s="9" t="str">
        <f>TEXT(A100,"yyyy-mm")</f>
        <v>2025-10</v>
      </c>
    </row>
    <row r="101" spans="1:8" x14ac:dyDescent="0.2">
      <c r="A101" s="4">
        <v>45951</v>
      </c>
      <c r="B101" s="5" t="s">
        <v>9</v>
      </c>
      <c r="C101" s="5" t="s">
        <v>11</v>
      </c>
      <c r="D101" s="5" t="s">
        <v>10</v>
      </c>
      <c r="E101" s="6">
        <v>55</v>
      </c>
      <c r="F101" s="7">
        <f>VLOOKUP(D101,ProductPrices,2,FALSE)</f>
        <v>35.5</v>
      </c>
      <c r="G101" s="7">
        <f>E101*F101</f>
        <v>1952.5</v>
      </c>
      <c r="H101" s="5" t="str">
        <f>TEXT(A101,"yyyy-mm")</f>
        <v>2025-10</v>
      </c>
    </row>
    <row r="102" spans="1:8" x14ac:dyDescent="0.2">
      <c r="A102" s="8">
        <v>45950</v>
      </c>
      <c r="B102" s="9" t="s">
        <v>9</v>
      </c>
      <c r="C102" s="9" t="s">
        <v>15</v>
      </c>
      <c r="D102" s="9" t="s">
        <v>10</v>
      </c>
      <c r="E102" s="10">
        <v>17</v>
      </c>
      <c r="F102" s="11">
        <f>VLOOKUP(D102,ProductPrices,2,FALSE)</f>
        <v>35.5</v>
      </c>
      <c r="G102" s="11">
        <f>E102*F102</f>
        <v>603.5</v>
      </c>
      <c r="H102" s="9" t="str">
        <f>TEXT(A102,"yyyy-mm")</f>
        <v>2025-10</v>
      </c>
    </row>
    <row r="103" spans="1:8" x14ac:dyDescent="0.2">
      <c r="A103" s="4">
        <v>45949</v>
      </c>
      <c r="B103" s="5" t="s">
        <v>13</v>
      </c>
      <c r="C103" s="5" t="s">
        <v>19</v>
      </c>
      <c r="D103" s="5" t="s">
        <v>18</v>
      </c>
      <c r="E103" s="6">
        <v>45</v>
      </c>
      <c r="F103" s="7">
        <f>VLOOKUP(D103,ProductPrices,2,FALSE)</f>
        <v>99</v>
      </c>
      <c r="G103" s="7">
        <f>E103*F103</f>
        <v>4455</v>
      </c>
      <c r="H103" s="5" t="str">
        <f>TEXT(A103,"yyyy-mm")</f>
        <v>2025-10</v>
      </c>
    </row>
    <row r="104" spans="1:8" x14ac:dyDescent="0.2">
      <c r="A104" s="8">
        <v>45948</v>
      </c>
      <c r="B104" s="9" t="s">
        <v>9</v>
      </c>
      <c r="C104" s="9" t="s">
        <v>11</v>
      </c>
      <c r="D104" s="9" t="s">
        <v>10</v>
      </c>
      <c r="E104" s="10">
        <v>13</v>
      </c>
      <c r="F104" s="11">
        <f>VLOOKUP(D104,ProductPrices,2,FALSE)</f>
        <v>35.5</v>
      </c>
      <c r="G104" s="11">
        <f>E104*F104</f>
        <v>461.5</v>
      </c>
      <c r="H104" s="9" t="str">
        <f>TEXT(A104,"yyyy-mm")</f>
        <v>2025-10</v>
      </c>
    </row>
    <row r="105" spans="1:8" x14ac:dyDescent="0.2">
      <c r="A105" s="4">
        <v>45947</v>
      </c>
      <c r="B105" s="5" t="s">
        <v>17</v>
      </c>
      <c r="C105" s="5" t="s">
        <v>19</v>
      </c>
      <c r="D105" s="5" t="s">
        <v>10</v>
      </c>
      <c r="E105" s="6">
        <v>54</v>
      </c>
      <c r="F105" s="7">
        <f>VLOOKUP(D105,ProductPrices,2,FALSE)</f>
        <v>35.5</v>
      </c>
      <c r="G105" s="7">
        <f>E105*F105</f>
        <v>1917</v>
      </c>
      <c r="H105" s="5" t="str">
        <f>TEXT(A105,"yyyy-mm")</f>
        <v>2025-10</v>
      </c>
    </row>
    <row r="106" spans="1:8" x14ac:dyDescent="0.2">
      <c r="A106" s="8">
        <v>45946</v>
      </c>
      <c r="B106" s="9" t="s">
        <v>9</v>
      </c>
      <c r="C106" s="9" t="s">
        <v>19</v>
      </c>
      <c r="D106" s="9" t="s">
        <v>6</v>
      </c>
      <c r="E106" s="10">
        <v>40</v>
      </c>
      <c r="F106" s="11">
        <f>VLOOKUP(D106,ProductPrices,2,FALSE)</f>
        <v>19.989999999999998</v>
      </c>
      <c r="G106" s="11">
        <f>E106*F106</f>
        <v>799.59999999999991</v>
      </c>
      <c r="H106" s="9" t="str">
        <f>TEXT(A106,"yyyy-mm")</f>
        <v>2025-10</v>
      </c>
    </row>
    <row r="107" spans="1:8" x14ac:dyDescent="0.2">
      <c r="A107" s="4">
        <v>45945</v>
      </c>
      <c r="B107" s="5" t="s">
        <v>17</v>
      </c>
      <c r="C107" s="5" t="s">
        <v>11</v>
      </c>
      <c r="D107" s="5" t="s">
        <v>10</v>
      </c>
      <c r="E107" s="6">
        <v>43</v>
      </c>
      <c r="F107" s="7">
        <f>VLOOKUP(D107,ProductPrices,2,FALSE)</f>
        <v>35.5</v>
      </c>
      <c r="G107" s="7">
        <f>E107*F107</f>
        <v>1526.5</v>
      </c>
      <c r="H107" s="5" t="str">
        <f>TEXT(A107,"yyyy-mm")</f>
        <v>2025-10</v>
      </c>
    </row>
    <row r="108" spans="1:8" x14ac:dyDescent="0.2">
      <c r="A108" s="8">
        <v>45944</v>
      </c>
      <c r="B108" s="9" t="s">
        <v>13</v>
      </c>
      <c r="C108" s="9" t="s">
        <v>15</v>
      </c>
      <c r="D108" s="9" t="s">
        <v>18</v>
      </c>
      <c r="E108" s="10">
        <v>48</v>
      </c>
      <c r="F108" s="11">
        <f>VLOOKUP(D108,ProductPrices,2,FALSE)</f>
        <v>99</v>
      </c>
      <c r="G108" s="11">
        <f>E108*F108</f>
        <v>4752</v>
      </c>
      <c r="H108" s="9" t="str">
        <f>TEXT(A108,"yyyy-mm")</f>
        <v>2025-10</v>
      </c>
    </row>
    <row r="109" spans="1:8" x14ac:dyDescent="0.2">
      <c r="A109" s="4">
        <v>45943</v>
      </c>
      <c r="B109" s="5" t="s">
        <v>17</v>
      </c>
      <c r="C109" s="5" t="s">
        <v>15</v>
      </c>
      <c r="D109" s="5" t="s">
        <v>14</v>
      </c>
      <c r="E109" s="6">
        <v>64</v>
      </c>
      <c r="F109" s="7">
        <f>VLOOKUP(D109,ProductPrices,2,FALSE)</f>
        <v>12.75</v>
      </c>
      <c r="G109" s="7">
        <f>E109*F109</f>
        <v>816</v>
      </c>
      <c r="H109" s="5" t="str">
        <f>TEXT(A109,"yyyy-mm")</f>
        <v>2025-10</v>
      </c>
    </row>
    <row r="110" spans="1:8" x14ac:dyDescent="0.2">
      <c r="A110" s="8">
        <v>45942</v>
      </c>
      <c r="B110" s="9" t="s">
        <v>9</v>
      </c>
      <c r="C110" s="9" t="s">
        <v>11</v>
      </c>
      <c r="D110" s="9" t="s">
        <v>10</v>
      </c>
      <c r="E110" s="10">
        <v>35</v>
      </c>
      <c r="F110" s="11">
        <f>VLOOKUP(D110,ProductPrices,2,FALSE)</f>
        <v>35.5</v>
      </c>
      <c r="G110" s="11">
        <f>E110*F110</f>
        <v>1242.5</v>
      </c>
      <c r="H110" s="9" t="str">
        <f>TEXT(A110,"yyyy-mm")</f>
        <v>2025-10</v>
      </c>
    </row>
    <row r="111" spans="1:8" x14ac:dyDescent="0.2">
      <c r="A111" s="4">
        <v>45941</v>
      </c>
      <c r="B111" s="5" t="s">
        <v>17</v>
      </c>
      <c r="C111" s="5" t="s">
        <v>11</v>
      </c>
      <c r="D111" s="5" t="s">
        <v>18</v>
      </c>
      <c r="E111" s="6">
        <v>49</v>
      </c>
      <c r="F111" s="7">
        <f>VLOOKUP(D111,ProductPrices,2,FALSE)</f>
        <v>99</v>
      </c>
      <c r="G111" s="7">
        <f>E111*F111</f>
        <v>4851</v>
      </c>
      <c r="H111" s="5" t="str">
        <f>TEXT(A111,"yyyy-mm")</f>
        <v>2025-10</v>
      </c>
    </row>
    <row r="112" spans="1:8" x14ac:dyDescent="0.2">
      <c r="A112" s="8">
        <v>45940</v>
      </c>
      <c r="B112" s="9" t="s">
        <v>13</v>
      </c>
      <c r="C112" s="9" t="s">
        <v>19</v>
      </c>
      <c r="D112" s="9" t="s">
        <v>6</v>
      </c>
      <c r="E112" s="10">
        <v>29</v>
      </c>
      <c r="F112" s="11">
        <f>VLOOKUP(D112,ProductPrices,2,FALSE)</f>
        <v>19.989999999999998</v>
      </c>
      <c r="G112" s="11">
        <f>E112*F112</f>
        <v>579.70999999999992</v>
      </c>
      <c r="H112" s="9" t="str">
        <f>TEXT(A112,"yyyy-mm")</f>
        <v>2025-10</v>
      </c>
    </row>
    <row r="113" spans="1:8" x14ac:dyDescent="0.2">
      <c r="A113" s="4">
        <v>45939</v>
      </c>
      <c r="B113" s="5" t="s">
        <v>9</v>
      </c>
      <c r="C113" s="5" t="s">
        <v>11</v>
      </c>
      <c r="D113" s="5" t="s">
        <v>14</v>
      </c>
      <c r="E113" s="6">
        <v>2</v>
      </c>
      <c r="F113" s="7">
        <f>VLOOKUP(D113,ProductPrices,2,FALSE)</f>
        <v>12.75</v>
      </c>
      <c r="G113" s="7">
        <f>E113*F113</f>
        <v>25.5</v>
      </c>
      <c r="H113" s="5" t="str">
        <f>TEXT(A113,"yyyy-mm")</f>
        <v>2025-10</v>
      </c>
    </row>
    <row r="114" spans="1:8" x14ac:dyDescent="0.2">
      <c r="A114" s="8">
        <v>45938</v>
      </c>
      <c r="B114" s="9" t="s">
        <v>5</v>
      </c>
      <c r="C114" s="9" t="s">
        <v>19</v>
      </c>
      <c r="D114" s="9" t="s">
        <v>14</v>
      </c>
      <c r="E114" s="10">
        <v>33</v>
      </c>
      <c r="F114" s="11">
        <f>VLOOKUP(D114,ProductPrices,2,FALSE)</f>
        <v>12.75</v>
      </c>
      <c r="G114" s="11">
        <f>E114*F114</f>
        <v>420.75</v>
      </c>
      <c r="H114" s="9" t="str">
        <f>TEXT(A114,"yyyy-mm")</f>
        <v>2025-10</v>
      </c>
    </row>
    <row r="115" spans="1:8" x14ac:dyDescent="0.2">
      <c r="A115" s="4">
        <v>45937</v>
      </c>
      <c r="B115" s="5" t="s">
        <v>13</v>
      </c>
      <c r="C115" s="5" t="s">
        <v>19</v>
      </c>
      <c r="D115" s="5" t="s">
        <v>18</v>
      </c>
      <c r="E115" s="6">
        <v>73</v>
      </c>
      <c r="F115" s="7">
        <f>VLOOKUP(D115,ProductPrices,2,FALSE)</f>
        <v>99</v>
      </c>
      <c r="G115" s="7">
        <f>E115*F115</f>
        <v>7227</v>
      </c>
      <c r="H115" s="5" t="str">
        <f>TEXT(A115,"yyyy-mm")</f>
        <v>2025-10</v>
      </c>
    </row>
    <row r="116" spans="1:8" x14ac:dyDescent="0.2">
      <c r="A116" s="8">
        <v>45936</v>
      </c>
      <c r="B116" s="9" t="s">
        <v>9</v>
      </c>
      <c r="C116" s="9" t="s">
        <v>19</v>
      </c>
      <c r="D116" s="9" t="s">
        <v>6</v>
      </c>
      <c r="E116" s="10">
        <v>50</v>
      </c>
      <c r="F116" s="11">
        <f>VLOOKUP(D116,ProductPrices,2,FALSE)</f>
        <v>19.989999999999998</v>
      </c>
      <c r="G116" s="11">
        <f>E116*F116</f>
        <v>999.49999999999989</v>
      </c>
      <c r="H116" s="9" t="str">
        <f>TEXT(A116,"yyyy-mm")</f>
        <v>2025-10</v>
      </c>
    </row>
    <row r="117" spans="1:8" x14ac:dyDescent="0.2">
      <c r="A117" s="4">
        <v>45935</v>
      </c>
      <c r="B117" s="5" t="s">
        <v>13</v>
      </c>
      <c r="C117" s="5" t="s">
        <v>11</v>
      </c>
      <c r="D117" s="5" t="s">
        <v>14</v>
      </c>
      <c r="E117" s="6">
        <v>58</v>
      </c>
      <c r="F117" s="7">
        <f>VLOOKUP(D117,ProductPrices,2,FALSE)</f>
        <v>12.75</v>
      </c>
      <c r="G117" s="7">
        <f>E117*F117</f>
        <v>739.5</v>
      </c>
      <c r="H117" s="5" t="str">
        <f>TEXT(A117,"yyyy-mm")</f>
        <v>2025-10</v>
      </c>
    </row>
    <row r="118" spans="1:8" x14ac:dyDescent="0.2">
      <c r="A118" s="8">
        <v>45934</v>
      </c>
      <c r="B118" s="9" t="s">
        <v>13</v>
      </c>
      <c r="C118" s="9" t="s">
        <v>15</v>
      </c>
      <c r="D118" s="9" t="s">
        <v>14</v>
      </c>
      <c r="E118" s="10">
        <v>31</v>
      </c>
      <c r="F118" s="11">
        <f>VLOOKUP(D118,ProductPrices,2,FALSE)</f>
        <v>12.75</v>
      </c>
      <c r="G118" s="11">
        <f>E118*F118</f>
        <v>395.25</v>
      </c>
      <c r="H118" s="9" t="str">
        <f>TEXT(A118,"yyyy-mm")</f>
        <v>2025-10</v>
      </c>
    </row>
    <row r="119" spans="1:8" x14ac:dyDescent="0.2">
      <c r="A119" s="4">
        <v>45933</v>
      </c>
      <c r="B119" s="5" t="s">
        <v>5</v>
      </c>
      <c r="C119" s="5" t="s">
        <v>15</v>
      </c>
      <c r="D119" s="5" t="s">
        <v>14</v>
      </c>
      <c r="E119" s="6">
        <v>65</v>
      </c>
      <c r="F119" s="7">
        <f>VLOOKUP(D119,ProductPrices,2,FALSE)</f>
        <v>12.75</v>
      </c>
      <c r="G119" s="7">
        <f>E119*F119</f>
        <v>828.75</v>
      </c>
      <c r="H119" s="5" t="str">
        <f>TEXT(A119,"yyyy-mm")</f>
        <v>2025-10</v>
      </c>
    </row>
    <row r="120" spans="1:8" x14ac:dyDescent="0.2">
      <c r="A120" s="8">
        <v>45932</v>
      </c>
      <c r="B120" s="9" t="s">
        <v>9</v>
      </c>
      <c r="C120" s="9" t="s">
        <v>7</v>
      </c>
      <c r="D120" s="9" t="s">
        <v>10</v>
      </c>
      <c r="E120" s="10">
        <v>53</v>
      </c>
      <c r="F120" s="11">
        <f>VLOOKUP(D120,ProductPrices,2,FALSE)</f>
        <v>35.5</v>
      </c>
      <c r="G120" s="11">
        <f>E120*F120</f>
        <v>1881.5</v>
      </c>
      <c r="H120" s="9" t="str">
        <f>TEXT(A120,"yyyy-mm")</f>
        <v>2025-10</v>
      </c>
    </row>
    <row r="121" spans="1:8" x14ac:dyDescent="0.2">
      <c r="A121" s="4">
        <v>45931</v>
      </c>
      <c r="B121" s="5" t="s">
        <v>13</v>
      </c>
      <c r="C121" s="5" t="s">
        <v>19</v>
      </c>
      <c r="D121" s="5" t="s">
        <v>10</v>
      </c>
      <c r="E121" s="6">
        <v>46</v>
      </c>
      <c r="F121" s="7">
        <f>VLOOKUP(D121,ProductPrices,2,FALSE)</f>
        <v>35.5</v>
      </c>
      <c r="G121" s="7">
        <f>E121*F121</f>
        <v>1633</v>
      </c>
      <c r="H121" s="5" t="str">
        <f>TEXT(A121,"yyyy-mm")</f>
        <v>2025-10</v>
      </c>
    </row>
  </sheetData>
  <conditionalFormatting sqref="G2:G121">
    <cfRule type="dataBar" priority="1">
      <dataBar>
        <cfvo type="min"/>
        <cfvo type="max"/>
        <color rgb="FF63C384"/>
      </dataBar>
    </cfRule>
    <cfRule type="colorScale" priority="2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dataValidations count="2">
    <dataValidation type="list" sqref="B2:B121" xr:uid="{00000000-0002-0000-0100-000000000000}">
      <formula1>Regions</formula1>
    </dataValidation>
    <dataValidation type="list" sqref="D2:D121" xr:uid="{00000000-0002-0000-0100-000001000000}">
      <formula1>Products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pane ySplit="6" topLeftCell="A7" activePane="bottomLeft" state="frozen"/>
      <selection pane="bottomLeft" sqref="A1:F1"/>
    </sheetView>
  </sheetViews>
  <sheetFormatPr baseColWidth="10" defaultColWidth="8.83203125" defaultRowHeight="15" x14ac:dyDescent="0.2"/>
  <cols>
    <col min="1" max="1" width="38" customWidth="1"/>
    <col min="2" max="2" width="22" customWidth="1"/>
    <col min="3" max="3" width="26" customWidth="1"/>
    <col min="4" max="4" width="12" customWidth="1"/>
    <col min="5" max="5" width="16" customWidth="1"/>
    <col min="6" max="6" width="2" customWidth="1"/>
  </cols>
  <sheetData>
    <row r="1" spans="1:6" ht="21" x14ac:dyDescent="0.25">
      <c r="A1" s="18" t="s">
        <v>29</v>
      </c>
      <c r="B1" s="19"/>
      <c r="C1" s="19"/>
      <c r="D1" s="19"/>
      <c r="E1" s="19"/>
      <c r="F1" s="19"/>
    </row>
    <row r="3" spans="1:6" x14ac:dyDescent="0.2">
      <c r="A3" t="s">
        <v>30</v>
      </c>
      <c r="B3" t="s">
        <v>5</v>
      </c>
    </row>
    <row r="4" spans="1:6" x14ac:dyDescent="0.2">
      <c r="A4" t="s">
        <v>31</v>
      </c>
      <c r="B4" t="s">
        <v>6</v>
      </c>
    </row>
    <row r="6" spans="1:6" ht="16" x14ac:dyDescent="0.2">
      <c r="A6" s="3" t="s">
        <v>32</v>
      </c>
      <c r="B6" s="3" t="s">
        <v>33</v>
      </c>
      <c r="C6" s="3"/>
      <c r="D6" s="12" t="s">
        <v>28</v>
      </c>
      <c r="E6" s="12" t="s">
        <v>27</v>
      </c>
    </row>
    <row r="7" spans="1:6" x14ac:dyDescent="0.2">
      <c r="A7" s="9" t="s">
        <v>34</v>
      </c>
      <c r="B7" s="11">
        <f>SUMIFS(Data!$G:$G,Data!$B:$B,$B$3)</f>
        <v>51342.520000000004</v>
      </c>
      <c r="D7" s="9" t="s">
        <v>35</v>
      </c>
      <c r="E7" s="11">
        <f>SUMIFS(Data!$G:$G,Data!$B:$B,$B$3,Data!$H:$H,D7)</f>
        <v>13471.41</v>
      </c>
    </row>
    <row r="8" spans="1:6" x14ac:dyDescent="0.2">
      <c r="A8" s="9" t="s">
        <v>36</v>
      </c>
      <c r="B8" s="10">
        <f>SUMIFS(Data!$E:$E,Data!$B:$B,$B$3)</f>
        <v>1288</v>
      </c>
      <c r="D8" s="9" t="s">
        <v>37</v>
      </c>
      <c r="E8" s="11">
        <f>SUMIFS(Data!$G:$G,Data!$B:$B,$B$3,Data!$H:$H,D8)</f>
        <v>16899.86</v>
      </c>
    </row>
    <row r="9" spans="1:6" x14ac:dyDescent="0.2">
      <c r="A9" s="9" t="s">
        <v>38</v>
      </c>
      <c r="B9" s="11">
        <f>AVERAGEIFS(Data!$F:$F,Data!$B:$B,$B$3)</f>
        <v>38.597999999999999</v>
      </c>
      <c r="D9" s="9" t="s">
        <v>39</v>
      </c>
      <c r="E9" s="11">
        <f>SUMIFS(Data!$G:$G,Data!$B:$B,$B$3,Data!$H:$H,D9)</f>
        <v>15767.839999999998</v>
      </c>
    </row>
    <row r="10" spans="1:6" x14ac:dyDescent="0.2">
      <c r="A10" s="9" t="s">
        <v>40</v>
      </c>
      <c r="B10" s="11">
        <f>SUMIFS(Data!$G:$G,Data!$B:$B,$B$3,Data!$D:$D,$B$4)</f>
        <v>4457.7699999999995</v>
      </c>
      <c r="D10" s="9" t="s">
        <v>41</v>
      </c>
      <c r="E10" s="11">
        <f>SUMIFS(Data!$G:$G,Data!$B:$B,$B$3,Data!$H:$H,D10)</f>
        <v>5203.41</v>
      </c>
    </row>
    <row r="11" spans="1:6" x14ac:dyDescent="0.2">
      <c r="A11" s="9" t="s">
        <v>42</v>
      </c>
      <c r="B11" s="11" t="str">
        <f>IFERROR(VLOOKUP(C13,RepEmails,2,FALSE),"")</f>
        <v>c.garcia@example.com</v>
      </c>
    </row>
    <row r="13" spans="1:6" x14ac:dyDescent="0.2">
      <c r="A13" s="13" t="s">
        <v>43</v>
      </c>
      <c r="C13" s="14" t="str">
        <f>INDEX($A$17:$A$20, MATCH(MAX($B$17:$B$20), $B$17:$B$20, 0))</f>
        <v>C. Garcia</v>
      </c>
    </row>
    <row r="14" spans="1:6" x14ac:dyDescent="0.2">
      <c r="A14" t="s">
        <v>44</v>
      </c>
    </row>
    <row r="16" spans="1:6" ht="16" x14ac:dyDescent="0.2">
      <c r="A16" s="3" t="s">
        <v>23</v>
      </c>
      <c r="B16" s="3" t="s">
        <v>27</v>
      </c>
    </row>
    <row r="17" spans="1:2" x14ac:dyDescent="0.2">
      <c r="A17" s="9" t="s">
        <v>7</v>
      </c>
      <c r="B17" s="11">
        <f>SUMIFS(Data!$G:$G,Data!$B:$B,$B$3,Data!$C:$C,A17)</f>
        <v>7567.74</v>
      </c>
    </row>
    <row r="18" spans="1:2" x14ac:dyDescent="0.2">
      <c r="A18" s="9" t="s">
        <v>11</v>
      </c>
      <c r="B18" s="11">
        <f>SUMIFS(Data!$G:$G,Data!$B:$B,$B$3,Data!$C:$C,A18)</f>
        <v>12306.5</v>
      </c>
    </row>
    <row r="19" spans="1:2" x14ac:dyDescent="0.2">
      <c r="A19" s="9" t="s">
        <v>15</v>
      </c>
      <c r="B19" s="11">
        <f>SUMIFS(Data!$G:$G,Data!$B:$B,$B$3,Data!$C:$C,A19)</f>
        <v>20276.3</v>
      </c>
    </row>
    <row r="20" spans="1:2" x14ac:dyDescent="0.2">
      <c r="A20" s="9" t="s">
        <v>19</v>
      </c>
      <c r="B20" s="11">
        <f>SUMIFS(Data!$G:$G,Data!$B:$B,$B$3,Data!$C:$C,A20)</f>
        <v>11191.98</v>
      </c>
    </row>
  </sheetData>
  <mergeCells count="1">
    <mergeCell ref="A1:F1"/>
  </mergeCells>
  <dataValidations count="2">
    <dataValidation type="list" allowBlank="1" sqref="B3" xr:uid="{00000000-0002-0000-0200-000000000000}">
      <formula1>Regions</formula1>
    </dataValidation>
    <dataValidation type="list" allowBlank="1" sqref="B4" xr:uid="{00000000-0002-0000-0200-000001000000}">
      <formula1>Products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pane ySplit="2" topLeftCell="A3" activePane="bottomLeft" state="frozen"/>
      <selection pane="bottomLeft" sqref="A1:E1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18" customWidth="1"/>
    <col min="4" max="4" width="26" customWidth="1"/>
    <col min="5" max="5" width="30" customWidth="1"/>
  </cols>
  <sheetData>
    <row r="1" spans="1:5" ht="19" x14ac:dyDescent="0.25">
      <c r="A1" s="20" t="s">
        <v>45</v>
      </c>
      <c r="B1" s="19"/>
      <c r="C1" s="19"/>
      <c r="D1" s="19"/>
      <c r="E1" s="19"/>
    </row>
    <row r="2" spans="1:5" ht="16" x14ac:dyDescent="0.2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</row>
    <row r="3" spans="1:5" x14ac:dyDescent="0.2">
      <c r="A3" t="s">
        <v>51</v>
      </c>
      <c r="B3" s="9" t="s">
        <v>52</v>
      </c>
      <c r="C3" s="15">
        <v>1.2</v>
      </c>
      <c r="E3" s="9">
        <f>(100* $C$3)</f>
        <v>120</v>
      </c>
    </row>
    <row r="4" spans="1:5" ht="16" x14ac:dyDescent="0.2">
      <c r="A4" s="16" t="s">
        <v>53</v>
      </c>
      <c r="B4" s="16" t="s">
        <v>54</v>
      </c>
      <c r="C4" s="16">
        <v>82</v>
      </c>
      <c r="D4" s="16"/>
      <c r="E4" s="16" t="str">
        <f>IF(AND(C4&gt;=80,C4&lt;=100),"PASS","FAIL")</f>
        <v>PASS</v>
      </c>
    </row>
    <row r="5" spans="1:5" ht="16" x14ac:dyDescent="0.2">
      <c r="A5" s="16" t="s">
        <v>55</v>
      </c>
      <c r="B5" s="16" t="s">
        <v>56</v>
      </c>
      <c r="C5" s="16"/>
      <c r="D5" s="16"/>
      <c r="E5" s="16">
        <f>COUNTIF(Data!B:B,"North")</f>
        <v>35</v>
      </c>
    </row>
    <row r="6" spans="1:5" ht="16" x14ac:dyDescent="0.2">
      <c r="A6" s="16" t="s">
        <v>57</v>
      </c>
      <c r="B6" s="16" t="s">
        <v>58</v>
      </c>
      <c r="C6" s="16"/>
      <c r="D6" s="16"/>
      <c r="E6" s="16">
        <f>SUMIF(Data!E:E,"&gt;50",Data!G:G)</f>
        <v>110255.79</v>
      </c>
    </row>
    <row r="7" spans="1:5" ht="16" x14ac:dyDescent="0.2">
      <c r="A7" s="16" t="s">
        <v>59</v>
      </c>
      <c r="B7" s="16" t="s">
        <v>60</v>
      </c>
      <c r="C7" s="16"/>
      <c r="D7" s="16"/>
      <c r="E7" s="16">
        <f>INDEX(Lookup!D2:D5, MATCH("Gizmo", Lookup!C2:C5, 0))</f>
        <v>35.5</v>
      </c>
    </row>
    <row r="8" spans="1:5" ht="16" x14ac:dyDescent="0.2">
      <c r="A8" s="16" t="s">
        <v>61</v>
      </c>
      <c r="B8" s="16" t="s">
        <v>62</v>
      </c>
      <c r="C8" s="16"/>
      <c r="D8" s="16"/>
      <c r="E8" s="16" t="str">
        <f>IFERROR(VLOOKUP("Nope",ProductPrices,2,FALSE),"")</f>
        <v/>
      </c>
    </row>
    <row r="9" spans="1:5" ht="16" x14ac:dyDescent="0.2">
      <c r="A9" s="16" t="s">
        <v>63</v>
      </c>
      <c r="B9" s="16" t="s">
        <v>64</v>
      </c>
      <c r="C9" s="17">
        <v>45935</v>
      </c>
      <c r="D9" s="16"/>
      <c r="E9" s="17">
        <f>EOMONTH(C9,0)</f>
        <v>45961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Lookup</vt:lpstr>
      <vt:lpstr>Data</vt:lpstr>
      <vt:lpstr>Summary</vt:lpstr>
      <vt:lpstr>Formulas</vt:lpstr>
      <vt:lpstr>ProductPrices</vt:lpstr>
      <vt:lpstr>Products</vt:lpstr>
      <vt:lpstr>Regions</vt:lpstr>
      <vt:lpstr>RepEmails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Matvieiev</cp:lastModifiedBy>
  <dcterms:created xsi:type="dcterms:W3CDTF">2026-01-05T10:37:00Z</dcterms:created>
  <dcterms:modified xsi:type="dcterms:W3CDTF">2026-01-05T12:47:51Z</dcterms:modified>
</cp:coreProperties>
</file>